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C:\Users\spope\Documents\000 Treasury QSMO\RFI 2\FINAL FOR READING ROOM\FM QSMO Review Updates 20210527\"/>
    </mc:Choice>
  </mc:AlternateContent>
  <xr:revisionPtr revIDLastSave="0" documentId="13_ncr:1_{BD4D5E86-4801-467C-BA9D-6323BD166CAF}" xr6:coauthVersionLast="46" xr6:coauthVersionMax="47" xr10:uidLastSave="{00000000-0000-0000-0000-000000000000}"/>
  <bookViews>
    <workbookView xWindow="57480" yWindow="-120" windowWidth="15600" windowHeight="11160" tabRatio="858" xr2:uid="{A3B0E1CF-C816-467B-91FB-8A6902EB3AFE}"/>
  </bookViews>
  <sheets>
    <sheet name="Cover Page" sheetId="4" r:id="rId1"/>
    <sheet name="Overview" sheetId="6" r:id="rId2"/>
    <sheet name="FM Sol-Serv Def Template" sheetId="1" r:id="rId3"/>
    <sheet name="FM Sol-Serv Def Example - SaaS" sheetId="12" r:id="rId4"/>
    <sheet name="FM Sol-Serv Def Example - PaaS" sheetId="13" r:id="rId5"/>
    <sheet name="FM Sol-Serv Def Example-Audit" sheetId="17" r:id="rId6"/>
    <sheet name="FFM-Functions-Activities" sheetId="19" r:id="rId7"/>
    <sheet name="Serv Delivery Layers" sheetId="3" r:id="rId8"/>
    <sheet name="Towers-SubTowers" sheetId="2" r:id="rId9"/>
    <sheet name="Service Components List" sheetId="9" r:id="rId10"/>
    <sheet name="Cost Pools-SubCost Pools" sheetId="10" r:id="rId11"/>
    <sheet name="ITIL" sheetId="8" r:id="rId12"/>
  </sheets>
  <externalReferences>
    <externalReference r:id="rId13"/>
    <externalReference r:id="rId14"/>
    <externalReference r:id="rId15"/>
    <externalReference r:id="rId16"/>
    <externalReference r:id="rId17"/>
    <externalReference r:id="rId18"/>
  </externalReferences>
  <definedNames>
    <definedName name="_xlnm._FilterDatabase" localSheetId="10" hidden="1">'Cost Pools-SubCost Pools'!$A$3:$E$3</definedName>
    <definedName name="_xlnm._FilterDatabase" localSheetId="6" hidden="1">'FFM-Functions-Activities'!$A$2:$E$56</definedName>
    <definedName name="_xlnm._FilterDatabase" localSheetId="9" hidden="1">'Service Components List'!$A$6:$T$652</definedName>
    <definedName name="Act_Names">[1]Lookups!$A$7:$B$21</definedName>
    <definedName name="Analysis">[1]!Analysis4[#Data]</definedName>
    <definedName name="AUTHORITATIVEREFERENCE">#REF!</definedName>
    <definedName name="Capabilities" localSheetId="6">#REF!</definedName>
    <definedName name="Capabilities">#REF!</definedName>
    <definedName name="CapabilityIDs_nr">[2]!CapabilityID_tbl[CapabilityID]</definedName>
    <definedName name="_xlnm.CRITERIA">#REF!</definedName>
    <definedName name="DoahAmanda">'[3]Doah and Amanda'!$A$2:$F$28</definedName>
    <definedName name="Effectiveness">#REF!</definedName>
    <definedName name="ETSNEXT_Deloite_Digital_Usability_Report__September_2016">#REF!</definedName>
    <definedName name="HollyTammyAlexDotti">'[4]Holly, Tammy, Alex, and Dotti'!$A$2:$F$28</definedName>
    <definedName name="HRJobGroup">[5]!HRJobTable[[#All],[Group]:[Occupation Group]]</definedName>
    <definedName name="HRJobSeries">[5]!HRJobTable[[#All],[Occupation Series Code]:[Occupation Series Label]]</definedName>
    <definedName name="HRJobTitle">[5]!HRJobTable[[#All],[Occupation Title Code]:[Occupation Title Label]]</definedName>
    <definedName name="LookupByCapRef" localSheetId="6">#REF!</definedName>
    <definedName name="LookupByCapRef">#REF!</definedName>
    <definedName name="_xlnm.Print_Titles" localSheetId="6">'FFM-Functions-Activities'!$2:$2</definedName>
    <definedName name="_xlnm.Print_Titles" localSheetId="9">'Service Components List'!$6:$6</definedName>
    <definedName name="Priority">'[6]Cross-cut Functs'!$Q$7:$Q$10</definedName>
    <definedName name="Service_Activity_ID_Names" comment="Used to validate entries in Compliance Checks tab">[2]!Service_Activities_tbl[ServiceActivityName]</definedName>
    <definedName name="ServiceActivities">'FFM-Functions-Activities'!$1:$1048576</definedName>
    <definedName name="ServiceFunctions">#REF!</definedName>
    <definedName name="SteveAngie">'[4]Steve and Angie'!$A$2:$F$28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9" l="1"/>
  <c r="A29" i="12"/>
  <c r="A64" i="12"/>
  <c r="A29" i="17"/>
  <c r="A4" i="17"/>
  <c r="A4" i="13"/>
  <c r="A4" i="12"/>
  <c r="A4" i="1"/>
  <c r="A4" i="6"/>
  <c r="A7" i="2" s="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8" i="17"/>
  <c r="A27" i="17"/>
  <c r="A26" i="17"/>
  <c r="A25" i="17"/>
  <c r="A24" i="17"/>
  <c r="A23" i="17"/>
  <c r="A22" i="17"/>
  <c r="A21" i="17"/>
  <c r="A20" i="17"/>
  <c r="A19" i="17"/>
  <c r="A18" i="17"/>
  <c r="A17" i="17"/>
  <c r="A16" i="17"/>
  <c r="A15" i="17"/>
  <c r="A14" i="17"/>
  <c r="A13" i="17"/>
  <c r="A12" i="17"/>
  <c r="A11" i="17"/>
  <c r="A64" i="13"/>
  <c r="A63" i="13"/>
  <c r="A62" i="13"/>
  <c r="A61" i="13"/>
  <c r="A60" i="13"/>
  <c r="A59" i="13"/>
  <c r="A58" i="13"/>
  <c r="A57" i="13"/>
  <c r="A56" i="13"/>
  <c r="A55" i="13"/>
  <c r="A54" i="13"/>
  <c r="A53" i="13"/>
  <c r="A52"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8" i="12"/>
  <c r="A27" i="12"/>
  <c r="A26" i="12"/>
  <c r="A25" i="12"/>
  <c r="A24" i="12"/>
  <c r="A23" i="12"/>
  <c r="A22" i="12"/>
  <c r="A21" i="12"/>
  <c r="A20" i="12"/>
  <c r="A19" i="12"/>
  <c r="A18" i="12"/>
  <c r="A17" i="12"/>
  <c r="A16" i="12"/>
  <c r="A15" i="12"/>
  <c r="A14" i="12"/>
  <c r="A13" i="12"/>
  <c r="A12" i="12"/>
  <c r="A11" i="12"/>
</calcChain>
</file>

<file path=xl/sharedStrings.xml><?xml version="1.0" encoding="utf-8"?>
<sst xmlns="http://schemas.openxmlformats.org/spreadsheetml/2006/main" count="11301" uniqueCount="2153">
  <si>
    <t>Draft/Pre-Decisional</t>
  </si>
  <si>
    <t>Financial Management (FM) Solution/Service Definition Template</t>
  </si>
  <si>
    <t>As of: May 26, 2021</t>
  </si>
  <si>
    <t>This RFI (Request for Information) is issued solely for market research and planning purposes.  The RFI does not constitute a solicitation or a commitment to a particular acquisition strategy. The RFI is intended to get industry feedback on the vision for the FM QSMO Marketplace, which includes core financial system and other financial management services and solutions. Nothing in this document should be construed as a final government decision upon which industry should take action and the RFI is subject to change. Treasury is not seeking proposals at this time and will not consider unsolicited proposals provided in response to the RFI. All information received in response to the RFI that is marked as proprietary will be handled accordingly.  Responses to this notice are not offers and cannot be accepted by the Government to form a binding contract. Responders are solely responsible for all expenses associated with responding to the RFI.</t>
  </si>
  <si>
    <t>Overview</t>
  </si>
  <si>
    <t>FM Solution/Service Definition Template</t>
  </si>
  <si>
    <t>Workbook Tab Name</t>
  </si>
  <si>
    <t xml:space="preserve"> Description</t>
  </si>
  <si>
    <t>This tab lists each workbook tab and provides an explanation of the tab's contents</t>
  </si>
  <si>
    <t>Solution/Service Definition Tabs:</t>
  </si>
  <si>
    <t>FM Sol-Serv Def Template
FM Sol-Serv Def Example - SaaS
FM Sol-Serv Def Example - PaaS
FM Sol-Serv Def Example - Audit</t>
  </si>
  <si>
    <t>Objective</t>
  </si>
  <si>
    <t xml:space="preserve">These tabs provide the template and examples of FM solution/service package definitions indicating what components are included and excluded from an FM solution/service package. </t>
  </si>
  <si>
    <t>Provider Name</t>
  </si>
  <si>
    <t>Identifies the name of the provider of the FM solution/service</t>
  </si>
  <si>
    <t>FM Solution/Service Package Name</t>
  </si>
  <si>
    <t>Identifies the name of the FM solution/service offering. The term "package" is used because a single provider may offer multiple variations of their FM solution/service offering (e.g., Core FS using commercial IaaS subservices and Core FS using classified government cloud IaaS subservices).</t>
  </si>
  <si>
    <t>FM Solution/Service Package Short Description</t>
  </si>
  <si>
    <t>Provides a short description of the FM solution/service offering, including the general scope and the intended use by the Service Customer</t>
  </si>
  <si>
    <t>FFM Functions: Activities</t>
  </si>
  <si>
    <t>For each FFM Function/Activity listed, indicates which components are included in (enabled or performed) or excluded from the FM solution/service package. This is referred to as the "Business View" of the FM solution/service package being offered.</t>
  </si>
  <si>
    <t>Service Delivery Layers and Towers: Sub-Towers</t>
  </si>
  <si>
    <t>For each Sub-Tower within a Tower within a Service Delivery Layer, indicates which components are included in or excluded from the FM solution/service package. This is referred to as the "Asset View" of the FM solution/service package being offered.</t>
  </si>
  <si>
    <t>Service Delivery Resources and Cost Pools</t>
  </si>
  <si>
    <t>For each Cost Pool within a Service Delivery Resource category, indicates which components are included in or excluded from the FM solution/service package. Note that "external labor" and "outside service" refer to sub-contractors or sub-services the Service Provider manages and integrates into the FM solution/service offering or to which the Service Provider needs access.</t>
  </si>
  <si>
    <t>Indicator</t>
  </si>
  <si>
    <t>N/A = None of the components are applicable to delivering the service or using the solution 
INCL = All applicable components are included in delivering the service or using the solution
EXCL/R* = Components are not included in solution/service offering, but are required when delivering the service or using the solution 
EXCL/O* = Components are not included in solution/service offering, but can be optional when delivering the service or using the solution
PRTL/NA* = Some components are not included in solution/service offering  because they are not applicable when delivering the service or using the solution
PRTL/R* = Some components are not included in solution/service offering, but are required when delivering the service or using the solution
PRTL/O* = Some components are not included in solution/service offering, but can be optional when delivering the service or using the solution
* = Explanation required e.g., the specific components or resources excluded and/or to be provided by Service Customer (e.g., GFE)</t>
  </si>
  <si>
    <t>Additional Explanation</t>
  </si>
  <si>
    <t>Further explanation of what is included or excluded in an FM solution/service package and expectations of assets to be provided by Service Customers</t>
  </si>
  <si>
    <t>Additional Tabs in this Workbook are provided for reference purposes only.</t>
  </si>
  <si>
    <t>FFM-Functions-Activities Tab</t>
  </si>
  <si>
    <t xml:space="preserve">This tab provides a list and description of FFM Functions and Activities for reference purposes
</t>
  </si>
  <si>
    <t>ServiceFunctionID</t>
  </si>
  <si>
    <t xml:space="preserve">This column provides the unique identifier for the Service Function. </t>
  </si>
  <si>
    <t>ServiceFunctionName</t>
  </si>
  <si>
    <t>This column provides the short name for the FIBF Service Function.</t>
  </si>
  <si>
    <t xml:space="preserve">Service Activity ID </t>
  </si>
  <si>
    <t xml:space="preserve">This column provides the unique identifier for the Service Activity. </t>
  </si>
  <si>
    <t>Service Activity Name</t>
  </si>
  <si>
    <t>This column provides the short name for the FIBF Service Activity.</t>
  </si>
  <si>
    <t>Service Activity Description</t>
  </si>
  <si>
    <t>This column provides a description of the FIBF Service Activity.</t>
  </si>
  <si>
    <t>Serv Delivery Layers-Resources Tab</t>
  </si>
  <si>
    <t>This tab includes a high-level graphic and description of Service Delivery Layers and Service Delivery Resources for reference purposes.</t>
  </si>
  <si>
    <t>Towers-SubTowers Tab</t>
  </si>
  <si>
    <t>This tab provides a high-level list and description of the commercial TBM Towers/Sub-Towers plus government-defined extensions to commercial TBM Towers/Sub-Towers for reference purposes. The government-defined extensions are used to fully account for other anticipated service delivery components and costs not explicitly addressed in the commercial TBM Tower/Sub-Tower descriptions.</t>
  </si>
  <si>
    <t>Cost Pools-SubCost PoolsTab</t>
  </si>
  <si>
    <t>This tab provides a high-level list and description of the TBM Cost Pools and Sub-Cost Pools</t>
  </si>
  <si>
    <t>Service Components List Tab</t>
  </si>
  <si>
    <t>Provides a detailed list of service components that can be filtered by Service Delivery Layer, Towers/Sub-Towers, Service Delivery Resources, and Cost Pools/Sub-Cost Pools. This list can be used as a checklist to ensure all service-solution components have been considered when defining what is included/excluded in a service package or to further understand which components should be accounted for in which category (Service Delivery Layer, Service Delivery Resources, Towers/Sub-Towers, and Cost Pools/Sub-Cost Pools).</t>
  </si>
  <si>
    <t>ITIL Tab</t>
  </si>
  <si>
    <t xml:space="preserve">This tab provides a list of the Information Technology Infrastructure Library (ITIL) Practices referenced in the Service Components List tab.
</t>
  </si>
  <si>
    <t>Provider Name:</t>
  </si>
  <si>
    <t>FM Solution/Service Package Name:</t>
  </si>
  <si>
    <t>FM Solution/Service Package Short Description:</t>
  </si>
  <si>
    <t>Business View</t>
  </si>
  <si>
    <t>Asset View</t>
  </si>
  <si>
    <t>Service Delivery Resources:</t>
  </si>
  <si>
    <t>Technology</t>
  </si>
  <si>
    <t>Workforce</t>
  </si>
  <si>
    <t>Advisory</t>
  </si>
  <si>
    <t xml:space="preserve">Additional Explanation </t>
  </si>
  <si>
    <t>Cost Pools:</t>
  </si>
  <si>
    <t>Facilities</t>
  </si>
  <si>
    <t>Telecom-Network</t>
  </si>
  <si>
    <t>Hardware</t>
  </si>
  <si>
    <t>Software</t>
  </si>
  <si>
    <t>Internal 
Services</t>
  </si>
  <si>
    <t>Outside
Services</t>
  </si>
  <si>
    <t>Internal
Labor</t>
  </si>
  <si>
    <t>External
Labor</t>
  </si>
  <si>
    <t xml:space="preserve">SL0: Service Delivery Management </t>
  </si>
  <si>
    <t>IT Management: IT Management and Strategic Planning</t>
  </si>
  <si>
    <t>IT Management: Enterprise Architecture</t>
  </si>
  <si>
    <t>IT Management: IT Finance</t>
  </si>
  <si>
    <t>IT Management: IT Vendor Management</t>
  </si>
  <si>
    <t>IT Management: IT Human Capital Management</t>
  </si>
  <si>
    <t>IT Management: IT Personnel Travel</t>
  </si>
  <si>
    <t>Delivery: IT Service Management</t>
  </si>
  <si>
    <t>Delivery: Program, Product &amp; Project Management</t>
  </si>
  <si>
    <t xml:space="preserve">Delivery: Client Management </t>
  </si>
  <si>
    <t>Delivery: Operations Center</t>
  </si>
  <si>
    <t>Delivery: IT Service Design and Improvement</t>
  </si>
  <si>
    <t>Security &amp; Compliance: Security</t>
  </si>
  <si>
    <t>Security &amp; Compliance: Compliance</t>
  </si>
  <si>
    <t>Security &amp; Compliance: Disaster Recovery</t>
  </si>
  <si>
    <t>Security &amp; Compliance: Federal Records Mgmt</t>
  </si>
  <si>
    <t>Business Delivery Mgmt &amp; Support: Business Program, Product &amp; Project  Mgmt</t>
  </si>
  <si>
    <t>Compliance &amp; Controls: Continuity of Operations (COOP)</t>
  </si>
  <si>
    <t>Business Management: Business Management &amp; Strategic Planning</t>
  </si>
  <si>
    <t>Business Management: Business Finance</t>
  </si>
  <si>
    <t>Business Management: Business Vendor Management</t>
  </si>
  <si>
    <t>Business Management: Business Human Capital Management</t>
  </si>
  <si>
    <t>Business Management: Business Personnel Travel</t>
  </si>
  <si>
    <t>SL1: Facilities and Telecommunications</t>
  </si>
  <si>
    <t xml:space="preserve">Data Center: Enterprise Data Center </t>
  </si>
  <si>
    <t xml:space="preserve">Data Center: Other IT Facilities </t>
  </si>
  <si>
    <t>Data Center: IT Transport Vehicles &amp; Equipment</t>
  </si>
  <si>
    <t>Data Center: IT Office Furniture &amp; Supplies</t>
  </si>
  <si>
    <t>Business Facilities, Equipment &amp; Supplies: Business Facilities</t>
  </si>
  <si>
    <t>Business Facilities, Equipment &amp; Supplies: Business Transport Vehicles &amp; Equipment</t>
  </si>
  <si>
    <t xml:space="preserve">Business Facilities, Equipment &amp; Supplies: Business Office Furniture &amp; Supplies </t>
  </si>
  <si>
    <t>Network: LAN/WAN</t>
  </si>
  <si>
    <t>Network: Voice</t>
  </si>
  <si>
    <t>Network: Transport</t>
  </si>
  <si>
    <t>SL2: Hardware/OS/Storage Management</t>
  </si>
  <si>
    <t>Compute: Servers</t>
  </si>
  <si>
    <t>Compute: Unix</t>
  </si>
  <si>
    <t>Compute: Midrange</t>
  </si>
  <si>
    <t>Compute: Converged Infrastructure</t>
  </si>
  <si>
    <t>Compute: Mainframe</t>
  </si>
  <si>
    <t>Compute: High Performance Computing</t>
  </si>
  <si>
    <t>Storage: Online Storage</t>
  </si>
  <si>
    <t>Storage: Mainframe Online Storage</t>
  </si>
  <si>
    <t>Storage: Offline Storage</t>
  </si>
  <si>
    <t>Storage: Mainframe Offline Storage</t>
  </si>
  <si>
    <t>Output: Central Print</t>
  </si>
  <si>
    <t>End User: Workspace</t>
  </si>
  <si>
    <t>End User: Mobile Devices</t>
  </si>
  <si>
    <t>End User: Network Printers</t>
  </si>
  <si>
    <t>End User: Conferencing &amp; AV</t>
  </si>
  <si>
    <t>SL3: Software Management</t>
  </si>
  <si>
    <t>Platform: Middleware</t>
  </si>
  <si>
    <t>Platform: Mainframe Middleware</t>
  </si>
  <si>
    <t>Platform: Container Orchestration</t>
  </si>
  <si>
    <t>Application: Application Development</t>
  </si>
  <si>
    <t>Application: Application Support</t>
  </si>
  <si>
    <t>Application: Business Software</t>
  </si>
  <si>
    <t>End User: End User Software</t>
  </si>
  <si>
    <t>SL4: Data/Content Management</t>
  </si>
  <si>
    <t>Platform: Database</t>
  </si>
  <si>
    <t>Platform: Mainframe Database</t>
  </si>
  <si>
    <t>Platform: Big Data</t>
  </si>
  <si>
    <t>Application: Data Mgmt &amp; Operations</t>
  </si>
  <si>
    <t>Application: Data Sourcing &amp; Maintenance</t>
  </si>
  <si>
    <t>SL5: Business Application Support</t>
  </si>
  <si>
    <t>Application: Application Operations</t>
  </si>
  <si>
    <t>End User: IT Help Desk</t>
  </si>
  <si>
    <t>End User: Deskside Support</t>
  </si>
  <si>
    <t>End User: Application Training</t>
  </si>
  <si>
    <t>SL6: Business Transaction/Information Processing Support</t>
  </si>
  <si>
    <t>Business Delivery Mgmt &amp; Support: Transaction/Information Processing</t>
  </si>
  <si>
    <t>SL7: Business Functional and Analytics Support</t>
  </si>
  <si>
    <t>Business Delivery Mgmt &amp; Support: Business Function Training</t>
  </si>
  <si>
    <t>Business Delivery Mgmt &amp; Support: Reporting and Data Analysis</t>
  </si>
  <si>
    <t>Compliance &amp; Controls: Regulation and Policy Guidance</t>
  </si>
  <si>
    <t>Compliance &amp; Controls: Internal Control &amp; Audit</t>
  </si>
  <si>
    <t>FM Solution/Service Definition Example - Core FS SaaS</t>
  </si>
  <si>
    <t>ABC Company</t>
  </si>
  <si>
    <t>ABC Core FS Software-as-a-Service (SaaS)</t>
  </si>
  <si>
    <t>ABC Core FS SaaS offers capabilities that enable customers to perform all FIBF FFM Functions, is fully compliant with Core FS Baseline Solution standards, and provides a full set of technical and operational support services, including Tier 1 service desk support.</t>
  </si>
  <si>
    <t>INCL</t>
  </si>
  <si>
    <t>The required standard BIE with other lines of business (Functional Areas) is provided to automate execution of funds availability checks</t>
  </si>
  <si>
    <t xml:space="preserve">The required standard set of FM reports/information extracts are provided; agency-specific reports/information extracts can be developed and provided for an additional cost. </t>
  </si>
  <si>
    <t>Financial asset information will be recorded using a journal voucher.</t>
  </si>
  <si>
    <t>The required standard BIE with SAM.gov is provided; agency-specific BIE extensions can be developed and provided for an additional cost.</t>
  </si>
  <si>
    <t>The required standard BIEs with other lines of business (Functional Areas) are provided; agency-specific BIE extensions can be developed and provided for an additional cost.</t>
  </si>
  <si>
    <t>The required standard BIE with G-Invoicing is provided; agency-specific BIE extensions can be developed and provided for an additional cost.</t>
  </si>
  <si>
    <t>The required standard BIEs for payroll are provided; agency-specific BIE extensions can be developed and provided for an additional cost.</t>
  </si>
  <si>
    <t>The required standard BIE with the TRT Functional Area is provided; agency-specific BIE extensions can be developed and provided for an additional cost.</t>
  </si>
  <si>
    <t>The required standard BIE with the ACQ Functional Area is provided; agency-specific BIE extensions and additional BIEs can be developed and provided for an additional cost.</t>
  </si>
  <si>
    <t>The required standard BIE with the GRM Functional Area is provided; agency-specific BIE extensions can be developed and provided for an additional cost.</t>
  </si>
  <si>
    <t xml:space="preserve">A standard set of FM reports/information extracts are provided; agency-specific reports/information extracts can be developed and provided for an additional cost. </t>
  </si>
  <si>
    <t>Liability/asset information will be recorded using a journal voucher.</t>
  </si>
  <si>
    <t>N/A</t>
  </si>
  <si>
    <t>Outside (sub) services include xxxxxx SaaS</t>
  </si>
  <si>
    <t>Outside (sub) services include xxxxxx SaaS and  Microsoft Cloud Services (MSProject)</t>
  </si>
  <si>
    <t>EXCL/O</t>
  </si>
  <si>
    <t>COOP advisory services can be included in service scope for an additional cost</t>
  </si>
  <si>
    <t>Outside (sub) services include IaaS</t>
  </si>
  <si>
    <t>Provided for Service Provider staff only</t>
  </si>
  <si>
    <t>PRTL/R*</t>
  </si>
  <si>
    <t>Network connectivity outside of the Service Provider firewall/perimeter is the responsibility of the Service Customer.</t>
  </si>
  <si>
    <t xml:space="preserve">Provided for Service Provider staff only; Service Customer to provide end user workspace required for their staff to access Core FS SaaS (e.g., desktops, laptops). </t>
  </si>
  <si>
    <t>Outside (sub) services include xxxxxx PaaS</t>
  </si>
  <si>
    <t>Outside (sub) services include xxxxxx PaaS; Agency-specific extensions/enhancements can be provided for an additional cost</t>
  </si>
  <si>
    <t>Outside (sub) services include xxxxxx PaaS; Includes providing Tier 2 service desk support for Core FS Baseline Solution; Service desk support for agency-specific extensions/enhancements can be provided for an additional cost</t>
  </si>
  <si>
    <t>EXCL/R*</t>
  </si>
  <si>
    <t xml:space="preserve">Service Customer to provide end user software and configuration required for their staff to access Core FS SaaS (e.g., browser, security application). </t>
  </si>
  <si>
    <t>Includes address validation and perfection subscription (sub) service.</t>
  </si>
  <si>
    <t>Outside (sub) services include xxxxxx PaaS; Includes providing Tier 1 service desk support for Core FS Baseline Solution; Service desk support for agency-specific extensions/enhancements can be provided for an additional cost</t>
  </si>
  <si>
    <t>Outside (sub) services include e-learning PaaS; Includes providing Core FS Baseline Solution training; Training on agency-specific extensions/enhancements can be provided for an additional cost</t>
  </si>
  <si>
    <t>FM Solution/Service Definition Example - Core FS PaaS</t>
  </si>
  <si>
    <t>XYZ Company</t>
  </si>
  <si>
    <t>XYZ Core FS Platform-as-a-Service (PaaS)</t>
  </si>
  <si>
    <t>XYZ Core FS PaaS offers capabilities that enable customers to perform all FIBF FFM Functions and is fully compliant with Core FS Baseline Solution standards.</t>
  </si>
  <si>
    <t>The required standard set of FM reports/information extracts are provided</t>
  </si>
  <si>
    <t>The required standard BIE with SAM.gov is provided</t>
  </si>
  <si>
    <t>The required standard BIEs with other lines of business (Functional Areas) are provided.</t>
  </si>
  <si>
    <t>The required standard BIE with G-Invoicing is provided.</t>
  </si>
  <si>
    <t>The required standard BIEs for payroll are provided.</t>
  </si>
  <si>
    <t>The required standard BIE with the TRT Functional Area is provided.</t>
  </si>
  <si>
    <t>The required standard BIE with the ACQ Functional Area is provided.</t>
  </si>
  <si>
    <t>The required standard BIE with the GRM Functional Area is provided.</t>
  </si>
  <si>
    <t>The required standard set of FM reports/information extracts are provided.</t>
  </si>
  <si>
    <t>A standard set of FM reports/information extracts are provided.</t>
  </si>
  <si>
    <t>Outside (sub) services include xxxxxx PaaS; Includes providing Tier 2 service desk support for Core FS Baseline Solution</t>
  </si>
  <si>
    <t>FM Solution/Service Definition Example - Audit Services</t>
  </si>
  <si>
    <t>GHI Company</t>
  </si>
  <si>
    <t>GHI Audit Support and Internal Control Review Services</t>
  </si>
  <si>
    <t xml:space="preserve">GHI offers audit readiness and internal control review services for Federal financial management operations and Core FS solutions. Our services include personnel specializing in Federal financial management and software to plan, monitor, and report audit readiness and internal control review activities, schedules, issues, and resolution status.
</t>
  </si>
  <si>
    <t>Included in scope of review</t>
  </si>
  <si>
    <t>Can be included in service scope for additional cost</t>
  </si>
  <si>
    <t>Service Customer must provide results of previous 2 years and any ongoing internal control and compliance reviews to be included in scope of review</t>
  </si>
  <si>
    <t>Service Customer to provide office space for Service Provider staff.</t>
  </si>
  <si>
    <t>Service Customer to provide network connectivity including internet (outernet) access for Service Provider staff.</t>
  </si>
  <si>
    <t xml:space="preserve">Service Customer to provide Service Provider staff end-user computing devices (e.g., laptops) with configured collaboration and productivity software (e.g., Microsoft O365, MSTeams) and end user software required for accessing Core FS solution, (e.g., browser and security application). </t>
  </si>
  <si>
    <t>Service Customer to provide Service Provider staff with connectivity to and use of printers.</t>
  </si>
  <si>
    <t xml:space="preserve">Service Customer to provide Service Provider staff end-user computing devices (e.g., laptops) with configured collaboration and productivity software (e.g., Microsoft O365, MSTeams) and end user software required for accessing Core FS solution, (e.g., browser and configuration). </t>
  </si>
  <si>
    <t>Service Customer to provide Core FS solution database controls documentation.</t>
  </si>
  <si>
    <t>Service Customer must provide Core FS solution data management and operations documentation.</t>
  </si>
  <si>
    <t>Service Customer to provide Core FS solution operations documentation</t>
  </si>
  <si>
    <t>Service Provider will provide data analysis templates and macros to be loaded onto Service Customer-provided end-user computing devices</t>
  </si>
  <si>
    <t>Service Provider will provide audit templates and macros to be loaded onto Service Customer-provided end-user computing devices</t>
  </si>
  <si>
    <t>PRE-DECISIONAL DRAFT (May 26, 2021)
Any text in the ServiceActivityDescripton column noted in red indicates a proposed change from the standard previously released in February 2021. An official copy of the finalized version will be released in the summer of 2021.</t>
  </si>
  <si>
    <t>FunctionAreaID</t>
  </si>
  <si>
    <t>ServiceActivityID</t>
  </si>
  <si>
    <t>ServiceActivityName</t>
  </si>
  <si>
    <t>ServiceActivityDescription</t>
  </si>
  <si>
    <t>FFM.010</t>
  </si>
  <si>
    <t>Budget Execution</t>
  </si>
  <si>
    <t>FFM.010.010</t>
  </si>
  <si>
    <t>Budget Setup and Maintenance</t>
  </si>
  <si>
    <t>Establish and maintain budgetary resource reporting attributes; Receive agency spend and operating plan; Establish and maintain appropriated fund subdivisions before any of the appropriated funds are expended, according to OMB apportionments and agency spend and operating plan; Set up the funds control structure, levels, and accounting segments; Record the Treasury Accounting Fund Symbol (TAFS)/ Program/ Project/ Activity (PPA) information and organizational information for allotment and allocation; Includes setting up direct, reimbursable, revolving, contract, borrowing, financing, liquidating, advanced appropriation, anticipated collections, and non-expenditure transfer funds; Includes recording appropriation warrants, apportionments, allotments, allowances, allocations, reapportionments, transfer allocations, continuing resolutions, rescissions, and reprogramming actions</t>
  </si>
  <si>
    <t>FFM.010.020</t>
  </si>
  <si>
    <t>Fund Allocation and Control</t>
  </si>
  <si>
    <t>Implement controls designed to detect or prevent overspending for defined accounting segments; Execute statutory limitation control of funds restricting obligations and expenditures to amounts authorized by law; Execute administrative control of funds restricting obligation and expenditure from each account to the lower of the amount apportioned by OMB or the amount available for obligation and/or expenditure; Update funds control rules</t>
  </si>
  <si>
    <t>FFM.010.030</t>
  </si>
  <si>
    <t>Budgetary Reporting</t>
  </si>
  <si>
    <t>Perform budgetary resource and budget execution analysis; Provide cumulative budgetary resource and budget execution reports to governing financial management authorities (e.g. OMB); Provide reports of impacts from unusual events, such as sequestration, rescission, and deferrals; Provide reports on Antideficiency Act violations; Includes generating SF-132 and SF-133 and providing information needed for Budget Formulation; Verify required budgetary reports (e.g., SF-133) and general ledger account balances can be traced to appropriate supporting documentation</t>
  </si>
  <si>
    <t>FFM.020</t>
  </si>
  <si>
    <t>Financial Asset Information Management</t>
  </si>
  <si>
    <t>FFM.020.010</t>
  </si>
  <si>
    <t>Financial Asset Information Processing -  Property, Plant, and Equipment</t>
  </si>
  <si>
    <r>
      <t xml:space="preserve">Record financial asset type, category, value, and value adjustments (e.g., depreciation, impairment); Includes financial asset information processing for purchase and lease transactions, inventory, </t>
    </r>
    <r>
      <rPr>
        <sz val="11"/>
        <color rgb="FFFF0000"/>
        <rFont val="Arial"/>
        <family val="2"/>
      </rPr>
      <t xml:space="preserve">constructed assets </t>
    </r>
    <r>
      <rPr>
        <sz val="11"/>
        <rFont val="Arial"/>
        <family val="2"/>
      </rPr>
      <t>and software</t>
    </r>
  </si>
  <si>
    <t>FFM.020.020</t>
  </si>
  <si>
    <t>Financial Asset Information Processing - Loans</t>
  </si>
  <si>
    <t>Record financial asset type, category, value, and value adjustments (e.g., allowance for uncollectible amounts, subsidy allowance)</t>
  </si>
  <si>
    <t>FFM.020.030</t>
  </si>
  <si>
    <t>Financial Asset Information Processing - Heritage Assets and Stewardship Land</t>
  </si>
  <si>
    <t>Record financial asset type, category, value, and value adjustments (e.g., depreciation, impairment)</t>
  </si>
  <si>
    <t>FFM.020.040</t>
  </si>
  <si>
    <t>Financial Asset Information Processing - Federal Oil and Gas Resources</t>
  </si>
  <si>
    <t>Record financial asset type, category, value, and value adjustments</t>
  </si>
  <si>
    <t>FFM.020.050</t>
  </si>
  <si>
    <t>Financial Asset Information Processing - Other Federal Assets</t>
  </si>
  <si>
    <t>Record financial asset type, category, value, and value adjustments; Includes financial asset information processing for seized and forfeited assets and investments in Treasury securities</t>
  </si>
  <si>
    <t>FFM.020.060</t>
  </si>
  <si>
    <t>Financial Asset Information Reporting</t>
  </si>
  <si>
    <t>Provide financial asset information (e.g., asset type, value) for financial reporting and reconciliation with information in the asset management systems</t>
  </si>
  <si>
    <t>FFM.030</t>
  </si>
  <si>
    <t>Payable Management</t>
  </si>
  <si>
    <t>FFM.030.010</t>
  </si>
  <si>
    <t>Payee Setup and Maintenance</t>
  </si>
  <si>
    <t>Establish and maintain federal and nonfederal payee information; Validate payee information against other payee information sources (e.g. SAM, Do Not Pay List)</t>
  </si>
  <si>
    <t>FFM.030.020</t>
  </si>
  <si>
    <t>Obligation Management</t>
  </si>
  <si>
    <t>Record commitments (if applicable); Record obligations for both procurement and non-procurement purchases; Includes decommitments/ modifications, liquidating commitments, deobligations/ modifications, and liquidating obligations; Includes capturing obligation information as required to support the Digital Accountability and Transparency Act of 2014 (DATA Act); Includes verifying the validity of the undelivered orders balance</t>
  </si>
  <si>
    <t>FFM.030.030</t>
  </si>
  <si>
    <t>Payment Processing - Intragovernmental Payments</t>
  </si>
  <si>
    <t>Record intragovernmental invoices; Route invoices for approval by appropriate party; Provide payment information to execute intragovernmental funds transfers; Confirm payments were settled properly; Record payment adjustments; Includes processing payments for incurred expenses and payments in advance</t>
  </si>
  <si>
    <t>FFM.030.040</t>
  </si>
  <si>
    <t>Payment Processing - Payroll Payments</t>
  </si>
  <si>
    <t>Record payroll payments generated by payroll service; Reconcile payroll service information with financial management information; Record payment adjustments</t>
  </si>
  <si>
    <t>FFM.030.050</t>
  </si>
  <si>
    <t>Payment Processing - Travel Temporary Duty (TDY) and Local Payments</t>
  </si>
  <si>
    <t>Record approved vouchers for reimbursement of temporary duty (TDY) and local travel expenditures; Match travel vouchers to authorizing obligation documents; Generate payment transactions; Resolve payment issues; Record payment adjustments; Audit payments; Includes processing payments for E2s and SF-1164s, incurred expenses, and payments in advance</t>
  </si>
  <si>
    <t>FFM.030.060</t>
  </si>
  <si>
    <t>Payment Processing - Travel PCS Payments</t>
  </si>
  <si>
    <t>Record approved vouchers for travel expenditures related to temporary and permanent change of station (TCS/PCS); Match travel vouchers to authorizing obligation documents; Generate payment transactions; Resolve payment issues; Record payment adjustments; Audit payments; Includes processing payments for incurred expenses and payments in advance</t>
  </si>
  <si>
    <t>FFM.030.070</t>
  </si>
  <si>
    <t>Payment Processing - Commercial Payments</t>
  </si>
  <si>
    <r>
      <t xml:space="preserve">Record receiving and acceptance reports; Receive and record invoices; </t>
    </r>
    <r>
      <rPr>
        <sz val="11"/>
        <color rgb="FFFF0000"/>
        <rFont val="Arial"/>
        <family val="2"/>
      </rPr>
      <t xml:space="preserve">Receive and record insurance invoices; </t>
    </r>
    <r>
      <rPr>
        <sz val="11"/>
        <rFont val="Arial"/>
        <family val="2"/>
      </rPr>
      <t xml:space="preserve">Match invoice, order, acceptance and receiving report (as appropriate); Route invoices for approval by appropriate party; </t>
    </r>
    <r>
      <rPr>
        <sz val="11"/>
        <color rgb="FFFF0000"/>
        <rFont val="Arial"/>
        <family val="2"/>
      </rPr>
      <t xml:space="preserve">Includes the ability to net AR and AP for commercial vendors with outstanding balances; </t>
    </r>
    <r>
      <rPr>
        <sz val="11"/>
        <rFont val="Arial"/>
        <family val="2"/>
      </rPr>
      <t>In accordance with federal regulations, calculate discounts for early payments, and interest and penalties for late payments; Hold payments that fail validation; Generate payment transactions; Resolve invoice and payment issues; Record credits and payment adjustments; Audit payments; Includes processing payments for incurred expenses, payments in advance, credit card statements, and non-travel temporary and permanent change of station (TCS/PCS) costs (e.g., relocation services vendor, household goods shipment); Includes capturing commercial payment information as required to support the Digital Accountability and Transparency Act of 2014 (DATA Act) reporting</t>
    </r>
  </si>
  <si>
    <t>FFM.030.080</t>
  </si>
  <si>
    <t>Payment Processing - Grant Payments</t>
  </si>
  <si>
    <t>Record requests for grant payment; Match grant payment requests to obligating documents; Route grant payment requests for approval by appropriate party (as needed); Generate payment transactions; Resolve payment issues; Record credits and payment adjustments; Audit payments; Includes processing payments for incurred expenses and payments in advance; Includes capturing grant payment information as required to support the Digital Accountability and Transparency Act of 2014 (DATA Act) reporting</t>
  </si>
  <si>
    <t>FFM.030.090</t>
  </si>
  <si>
    <t>Payment Processing - Loan Payments</t>
  </si>
  <si>
    <t>Record requests for loan payment; Match loan payment requests to obligating documents; Route loan payment requests for approval by appropriate party (as appropriate); Generate payment transactions; Resolve payment issues; Record payment adjustments; Audit payments</t>
  </si>
  <si>
    <t>FFM.030.100</t>
  </si>
  <si>
    <t xml:space="preserve">Payment Processing - Other Payments (Foreign and Miscellaneous Payments)
</t>
  </si>
  <si>
    <t>Record receiving reports; Record invoices; Match invoice, order, and receiving report (as appropriate); Route invoices for approval by appropriate party; Complete foreign exchange conversions for foreign payments; Generate payment transactions; Resolve invoice and payment issues; Record payment adjustments; Audit payments; Includes processing payments for incurred expenses and payments in advance</t>
  </si>
  <si>
    <t>FFM.030.110</t>
  </si>
  <si>
    <t>Payment Disbursement</t>
  </si>
  <si>
    <t>Generate disbursement schedules from payment transactions; Perform quality assurance validations; Certify disbursement schedules; Warehouse disbursement schedules for transmission to Treasury</t>
  </si>
  <si>
    <t>FFM.030.120</t>
  </si>
  <si>
    <t>Payment Confirmation and Issue Resolution</t>
  </si>
  <si>
    <t>Record disbursement status, confirmation, and identification information; Provide disbursement status, confirmation, and identification information</t>
  </si>
  <si>
    <t>FFM.030.130</t>
  </si>
  <si>
    <t>Payment Reporting</t>
  </si>
  <si>
    <t>Provide payment transaction, Prompt Pay, Electronic Funds Transfer (EFT) payment, and improper payment information to support payment reporting activities; Generate and provide payment reports to IRS and payee when applicable (e.g., 1099-MISC); Provide disbursement summary and detail information to support financial reconciliation activities; Includes providing payment information to Travel Management, Grants Management, and Loans Management functions, as applicable</t>
  </si>
  <si>
    <t>FFM.040</t>
  </si>
  <si>
    <t>Revenue Management</t>
  </si>
  <si>
    <t>FFM.040.010</t>
  </si>
  <si>
    <t>Revenue Processing</t>
  </si>
  <si>
    <t>Record federal government revenue or other financing source information; Perform revenue reconciliations; Resolve issues; Record revenue adjustments</t>
  </si>
  <si>
    <t>FFM.040.020</t>
  </si>
  <si>
    <t>Revenue Reporting</t>
  </si>
  <si>
    <t>Provide revenue and other financing sources disclosure and supplementary information for agency and government-wide reporting</t>
  </si>
  <si>
    <t>FFM.050</t>
  </si>
  <si>
    <t>Reimbursable Management</t>
  </si>
  <si>
    <t>FFM.050.010</t>
  </si>
  <si>
    <t>Reimbursable Agreement Setup and Maintenance</t>
  </si>
  <si>
    <t>Establish and maintain customer, agreement, and unfilled customer order (UCO) information; Establish projects, as appropriate, to accumulate costs; Request advance payments; Includes setup and maintenance of Interagency Agreements (IAA) and federal and nonfederal agreements; Includes all pertinent customer information for trading partner processing</t>
  </si>
  <si>
    <t>FFM.050.020</t>
  </si>
  <si>
    <t>Reimbursable Invoicing</t>
  </si>
  <si>
    <t>Review costs incurred for delivering goods/services; Generate invoices and customer account statements; Generate nonfederal and intragovernmental invoices; Establish receivables; Incorporate cost information when generating invoices</t>
  </si>
  <si>
    <t>FFM.050.030</t>
  </si>
  <si>
    <t>Reimbursable Receipt Processing</t>
  </si>
  <si>
    <t>Monitor/confirm funds were transferred from federal agency trading partners; Receive payments from nonfederal trading partners or payment information from Treasury; Match funds transfers/collections to invoices; Prepare and record collections and deposits; Process returned negotiable instruments (e.g., returned check because of insufficient funds or closed account); Includes processing of billed and unbilled collections, and researching and resolving collections not clearly identified to an agreement</t>
  </si>
  <si>
    <t>FFM.050.040</t>
  </si>
  <si>
    <t>Reimbursable Reconciliation</t>
  </si>
  <si>
    <t>Reconcile reimbursable activity on the orders; Resolve reconciliation issues; Work with trading partner to resolve unsettled invoices; Apply credit memos and adjustments; Assess interest, penalties and administrative fees; Determine whether to transfer receivable for delinquent debt collection</t>
  </si>
  <si>
    <t>FFM.050.050</t>
  </si>
  <si>
    <t>Reimbursable Closeout</t>
  </si>
  <si>
    <t>Review orders' financial status to confirm final costs were accumulated and invoiced; Liquidate unfilled customer order balances; For overpayments, generate intragovernmental/miscellaneous payment request; Close orders</t>
  </si>
  <si>
    <t>FFM.050.060</t>
  </si>
  <si>
    <t>Reimbursable Reporting</t>
  </si>
  <si>
    <t>Provide earned unbilled information with trading partners; Analyze and report on reimbursable costs, receivables, and receipts; Provide deposit summary and detail information to support financial reconciliation activities</t>
  </si>
  <si>
    <t>FFM.060</t>
  </si>
  <si>
    <t>Receivable and Collection Management</t>
  </si>
  <si>
    <t>FFM.060.010</t>
  </si>
  <si>
    <t>Payer Setup and Maintenance</t>
  </si>
  <si>
    <t>Establish and maintain federal and nonfederal payer information</t>
  </si>
  <si>
    <t>FFM.060.020</t>
  </si>
  <si>
    <t>Public Receivable Setup and Billing Invoicing</t>
  </si>
  <si>
    <r>
      <t xml:space="preserve">Record receivables; </t>
    </r>
    <r>
      <rPr>
        <sz val="11"/>
        <color rgb="FFFF0000"/>
        <rFont val="Arial"/>
        <family val="2"/>
      </rPr>
      <t xml:space="preserve">Establish Installment Payment Plans (i.e., recurring billing invoices) for receivables; </t>
    </r>
    <r>
      <rPr>
        <sz val="11"/>
        <rFont val="Arial"/>
        <family val="2"/>
      </rPr>
      <t>Generate invoices and remit to debtors; Includes applying cost information when generating invoices</t>
    </r>
  </si>
  <si>
    <t>FFM.060.030</t>
  </si>
  <si>
    <t>Public Receipt Processing</t>
  </si>
  <si>
    <t>Receive direct payments made by public or payment information from Treasury; Match payments received to invoices and payer account or determine they are miscellaneous receipts (e.g., user fees retained by the agency or other collections that must be deposited to the General Fund of the U.S. Government); Prepare and record collection deposits; Process credits for instances of overpayment; Process returned negotiable instruments (e.g., returned check because of insufficient funds or closed account); Includes receipt and processing of miscellaneous receipts, processing of billed and unbilled collections, and researching and resolving collections not clearly identified to an agreement</t>
  </si>
  <si>
    <t>FFM.060.040</t>
  </si>
  <si>
    <t>Credit Memo and Adjustment Processing</t>
  </si>
  <si>
    <t>Communicate with federal agency and debtor; Resolve issues; Record receivable credit memos and adjustments</t>
  </si>
  <si>
    <t>FFM.060.050</t>
  </si>
  <si>
    <t>Public Receivable Monitoring and Maintenance</t>
  </si>
  <si>
    <t>Analyze status of receivables; Contact debtors; Assess interest, penalties, and administrative fees; Determine whether to transfer receivables for delinquent debt collection</t>
  </si>
  <si>
    <t>FFM.060.060</t>
  </si>
  <si>
    <t>Public Receivable and Collection Reporting</t>
  </si>
  <si>
    <t>Provide receivable and collection status information to support federal receivable and collection reporting activities; Provide public receivable information to credit reporting agencies; Provide deposit summary and detail information to support financial reconciliation activities; Generate Treasury Report on Receivables (TROR); Includes providing receivable and collection information to Loans Management and Sales Order and Fulfillment Management functions, as applicable</t>
  </si>
  <si>
    <t>FFM.070</t>
  </si>
  <si>
    <t>Delinquent Debt Management</t>
  </si>
  <si>
    <t>FFM.070.010</t>
  </si>
  <si>
    <t>Delinquent Debt Collection</t>
  </si>
  <si>
    <r>
      <t>Generate and send dunning notices, with due process language, to alert the payers of debt delinquent status; Determine allocation of amounts collected (e.g., first to penalties</t>
    </r>
    <r>
      <rPr>
        <sz val="11"/>
        <color rgb="FFFF0000"/>
        <rFont val="Arial"/>
        <family val="2"/>
      </rPr>
      <t xml:space="preserve">, second to </t>
    </r>
    <r>
      <rPr>
        <sz val="11"/>
        <rFont val="Arial"/>
        <family val="2"/>
      </rPr>
      <t xml:space="preserve">administrative costs, </t>
    </r>
    <r>
      <rPr>
        <sz val="11"/>
        <color rgb="FFFF0000"/>
        <rFont val="Arial"/>
        <family val="2"/>
      </rPr>
      <t>third</t>
    </r>
    <r>
      <rPr>
        <sz val="11"/>
        <rFont val="Arial"/>
        <family val="2"/>
      </rPr>
      <t xml:space="preserve"> to interest, then to accounts receivable); Update receivables based on agency negotiated installment plan or compromise agreement; Request agency internally offset a federal payment; Consult agency’s legal counsel to determine whether to refer debts to the Department of Justice for litigation or use other litigation authority; Refer debts to Treasury’s Debt Management Services (DMS) for cross-servicing based on agency advice and as soon as due process requirements are met (i.e., 120 days delinquent); Includes processing of fines, penalties, and administrative fees</t>
    </r>
  </si>
  <si>
    <t>FFM.070.020</t>
  </si>
  <si>
    <t>Delinquent Debt Write-off and Closeout</t>
  </si>
  <si>
    <t>Make recommendations to agency to write off delinquent debts older than two years; Appropriately classify written-off debts as currently not collectible (CNC) or closed out</t>
  </si>
  <si>
    <t>FFM.070.030</t>
  </si>
  <si>
    <t>Delinquent Debt Reporting</t>
  </si>
  <si>
    <t>Provide delinquent debt status information to support federal receivable and collection reporting activities; Provide delinquent debt information to credit reporting agencies; Provide deposit summary and detail information to support financial reconciliation activities; Generate and provide cancellation of debt reports to IRS and debtor; Generate Treasury Report on Receivables (TROR)</t>
  </si>
  <si>
    <t>FFM.080</t>
  </si>
  <si>
    <t>Cost Management</t>
  </si>
  <si>
    <t>FFM.080.010</t>
  </si>
  <si>
    <t>Cost Management Setup and Maintenance</t>
  </si>
  <si>
    <t>Set up and maintain projects/responsibility segments/cost centers, cost pools, and cost objects to assign, allocate, or accumulate costs; Establish project/ responsibility segment/ cost center spend limits</t>
  </si>
  <si>
    <t>FFM.080.020</t>
  </si>
  <si>
    <t>Cost Accumulation and Allocation</t>
  </si>
  <si>
    <t>Accumulate direct and indirect costs; Capture cost allocation basis; Determine cost allocations and Intragovernmental entity costs by cost object/pool and project/responsibility segment/cost center</t>
  </si>
  <si>
    <t>FFM.080.030</t>
  </si>
  <si>
    <t>Cost Reporting</t>
  </si>
  <si>
    <t>Analyze and report on costs by cost object and project/responsibility segment/cost center; Includes providing cost information to budget formulation and reimbursable and public receivable invoicing activities</t>
  </si>
  <si>
    <t>FFM.090</t>
  </si>
  <si>
    <t>General Ledger Management</t>
  </si>
  <si>
    <t>FFM.090.010</t>
  </si>
  <si>
    <t>General Ledger Setup and Maintenance</t>
  </si>
  <si>
    <t>Establish and maintain general ledger account classifications, categories, and subcategories consistent with the USSGL accounts; Establish and maintain proprietary and budgetary account attributes; Establish and maintain attributes to support agency financial performance and operations reporting</t>
  </si>
  <si>
    <t>FFM.090.020</t>
  </si>
  <si>
    <t>General Ledger Posting</t>
  </si>
  <si>
    <t>Receive general ledger account transaction information provided by supporting financial management operations; Post general ledger proprietary, budgetary, and memorandum account transactions; Includes posting manual journal vouchers, adjustments to the general ledger, individual and aggregated transactions from subledgers, and transactions funded, obligated, or expended over multiple years to general ledger accounts that do not close</t>
  </si>
  <si>
    <t>FFM.090.030</t>
  </si>
  <si>
    <t xml:space="preserve">Accrual and Liability/Asset Processing </t>
  </si>
  <si>
    <t>Record, adjust, and liquidate budgetary and financial (proprietary) accruals, Record allowance for uncollectible amounts; Record actual and estimated liabilities; Includes, but is not limited to, intragovernmental liabilities, accrued employees' wages and entitlement benefits, and other liabilities</t>
  </si>
  <si>
    <t>FFM.090.040</t>
  </si>
  <si>
    <t>Period End Closing</t>
  </si>
  <si>
    <t>Close and open accounting periods; Record period-end accounting entries; Includes month-end and year-end closings and closing non-fiduciary and fiduciary accounts</t>
  </si>
  <si>
    <t>FFM.100</t>
  </si>
  <si>
    <t>Financial Reconciliation</t>
  </si>
  <si>
    <t>FFM.100.010</t>
  </si>
  <si>
    <t>Reconciliation of General Ledger and Subledgers</t>
  </si>
  <si>
    <t>Reconcile general ledger account relationships/ tie-points; Verify general ledger account balances can be traced to aggregated or discrete agency transactions and aggregated or discrete agency transactions can be traced to the point of origination and source documents; Identify and record corrections</t>
  </si>
  <si>
    <t>FFM.100.020</t>
  </si>
  <si>
    <t>Reconciliation of Intragovernmental Activity</t>
  </si>
  <si>
    <t>Manage intragovernmental suspense activity; Reconcile intragovernmental activity transactions; Resolve issues; Record adjustments; Includes non-expenditure transfer transactions</t>
  </si>
  <si>
    <t>FFM.100.030</t>
  </si>
  <si>
    <t>Reconciliation with Treasury Balance</t>
  </si>
  <si>
    <t>Record Treasury's general ledger account balance and transaction data for the agency; Prepare general ledger account, disbursement, and deposit reconciliation worksheets; Review, reclassify, and reconcile fund activity and balances; Includes reconciliation of fund balance, general ledger accounts, disbursements, and deposits with Treasury</t>
  </si>
  <si>
    <t>FFM.110</t>
  </si>
  <si>
    <t>Financial / Performance Reporting</t>
  </si>
  <si>
    <t>FFM.110.010</t>
  </si>
  <si>
    <t>Treasury Reporting</t>
  </si>
  <si>
    <t>Prepare statements of accountability and foreign currency reports, Verify required financial reports can be traced to general ledger account balances; Includes, but is not limited to, Government-wide Treasury Account Symbol Adjusted Trial Balance (GTAS) reporting, transactional posting to the Central Accounting Reporting System (CARS), and reporting to USA spending</t>
  </si>
  <si>
    <t>FFM.110.020</t>
  </si>
  <si>
    <t>Financial Statement Preparation</t>
  </si>
  <si>
    <t>Prepare financial statements and footnotes required by OMB Circular A-136; Verify financial statements and other required financial reports can be traced to general ledger account balances; Determine and record eliminations required to generate consolidated financial statements; Includes generating variance analyses for timely submissions, balance sheet, statement of net cost, statement of changes in net position, statement of budgetary resources, statement of custodial activity, statement of social insurance, statement of changes in social insurance amounts, required supplementary information, and required supplementary stewardship information, as applicable</t>
  </si>
  <si>
    <t>FFM.110.030</t>
  </si>
  <si>
    <t>Cash Forecasting and Reporting</t>
  </si>
  <si>
    <t>Prepare cash flow projections; Report large dollar requirements for deposits and disbursements</t>
  </si>
  <si>
    <t>FFM.110.040</t>
  </si>
  <si>
    <t>Financial Performance and Operational Reporting</t>
  </si>
  <si>
    <t>Provide general ledger information for agency-specific financial reports; Verify required financial reports can be traced to general ledger account balances; Includes providing financial performance and operational information to agency program offices</t>
  </si>
  <si>
    <t>FFM.110.050</t>
  </si>
  <si>
    <t xml:space="preserve">Internal Control/Compliance Reviews </t>
  </si>
  <si>
    <t>Implement standard internal control and compliance assurance procedures; Provide documentation to satisfy “Prepared By Client” requests from auditors; Prepare cycle memos; Provide sample information and documentation for compliance with other guidance, such as OMB Circular A-123; Record adjustments based on audit findings</t>
  </si>
  <si>
    <t>Service Delivery Layers and Resources</t>
  </si>
  <si>
    <t xml:space="preserve">It is anticipated that offerings in each of the FM QSMO Marketplace categories may include one or more of the following types of Service Delivery Resources:
• 	Technology – the physical assets needed to deliver to FM solution/service
• 	Workforce – the personnel that plan, build, implement, operate and/or deliver the FM solution/service on an on-going basis
• 	Advisory – the personnel that advise, guide, consult and/or perform Independent Verification and Validation on an as-needed basis.
It is also anticipated that offerings in each of the FM QSMO Marketplace categories may include one or more of the following types of Service Delivery Layers:
• 	Service Delivery Layer 0 – components supporting the overall management of the FM solution/service and cross-Service Layer functions such as asset and configuration management, security and privacy assurance and audit, and Disaster Recovery (DR) and Continuity of Operations (COOP) management
• 	Service Layers 1 and 2 – components such as hardware, operating system software, and storage, as well as the facilities they are housed in and the networks needed to connect these technologies (all together commonly referred to as the “infrastructure”)
• 	Service Layers 3, 4, and 5 – components providing enterprise, middleware, or business application software, managing content and data, and providing technical support for the business applications
• 	Service Layers 6 and 7 – components supporting business operations such as transaction processing, document or data pre-processing, business function guidance, data reporting, and data analyses.
</t>
  </si>
  <si>
    <t>Towers-SubTowers</t>
  </si>
  <si>
    <t xml:space="preserve">
</t>
  </si>
  <si>
    <t>The high-level list and description of the commercial TBM Taxonomy Towers/Sub-Towers (https://higherlogicdownload.s3.amazonaws.com/TBMCOUNCIL/c15d372f-9951-46c8-9c3f-213c696401b6/UploadedImages/TBM_Taxonomy_V4_0.pdf) has been augmented with government-defined extensions to fully account for other anticipated service delivery components and costs not explicitly addressed in the commercial TBM Tower/Sub-Tower descriptions.</t>
  </si>
  <si>
    <t>Light Blue = Commercial TBM v4</t>
  </si>
  <si>
    <t>Gold = Federal Government Extension</t>
  </si>
  <si>
    <t>Tower ID</t>
  </si>
  <si>
    <t>Tower Name</t>
  </si>
  <si>
    <t>Sub-Tower ID</t>
  </si>
  <si>
    <t>Tower/Sub-Tower Name</t>
  </si>
  <si>
    <t>Tower/Sub-Tower Description</t>
  </si>
  <si>
    <t>IT Management</t>
  </si>
  <si>
    <t>The IT Management tower includes the costs to manage, administer &amp; plan IT for the enterprise. It includes executive management, strategic management, enterprise architecture, IT finance, and vendor management.</t>
  </si>
  <si>
    <t>0.1.1</t>
  </si>
  <si>
    <t>IT Management &amp; Strategic Planning</t>
  </si>
  <si>
    <t>IT management and administration resources; typically CIO, senior IT leaders and administrative support including centralized IT strategy and planning.</t>
  </si>
  <si>
    <t>0.1.2</t>
  </si>
  <si>
    <t>Enterprise Architecture</t>
  </si>
  <si>
    <t>Enterprise architecture services including business, information, application and technical architecture to drive standardization, integration and efficiency among business technology solutions.</t>
  </si>
  <si>
    <t>0.1.3</t>
  </si>
  <si>
    <t>IT Finance</t>
  </si>
  <si>
    <t>Resources involved in the planning, budgeting, spend management and chargeback of IT expenditures and the costing of IT products and services.</t>
  </si>
  <si>
    <t>0.1.4</t>
  </si>
  <si>
    <t>IT Vendor Management</t>
  </si>
  <si>
    <t>Resources involved in the selection, contract management, oversight, performance management and general delivery of IT services by 3rd party vendors and external service providers.</t>
  </si>
  <si>
    <t>0.1.5</t>
  </si>
  <si>
    <t>IT Human Capital Management</t>
  </si>
  <si>
    <t>Resources involved in the acquisition, development, performance management, compensation, and separation of IT personnel. Included are initial and periodic personnel background investigations and drug testing, as well as training on organizational policies and procedures.</t>
  </si>
  <si>
    <t>0.1.6</t>
  </si>
  <si>
    <t>IT Personnel Travel</t>
  </si>
  <si>
    <t>Any IT personnel travel related to official work.</t>
  </si>
  <si>
    <t>Delivery</t>
  </si>
  <si>
    <t>The delivery tower includes the costs to monitor, support, manage, and run IT operations for the enterprise and includes the IT Service Management (ITSM) functions.</t>
  </si>
  <si>
    <t>0.2.1</t>
  </si>
  <si>
    <t>IT Service Management</t>
  </si>
  <si>
    <t>Resources involved with the incident, problem and change management activities as part of the IT Service Management process (excludes the Tier 1 help desk).</t>
  </si>
  <si>
    <t>0.2.2</t>
  </si>
  <si>
    <t>IT Program, Product &amp; Project Management</t>
  </si>
  <si>
    <t>Resources involved with managing and supporting IT related projects and/or continuous product development (e.g. Agile) across business and IT-driven initiatives.</t>
  </si>
  <si>
    <t>0.2.3</t>
  </si>
  <si>
    <t xml:space="preserve">Client Management </t>
  </si>
  <si>
    <t>Resources or “account managers” aligned with the lines of business to understand business needs, communicate IT products, services and status of IT projects.</t>
  </si>
  <si>
    <t>0.2.4</t>
  </si>
  <si>
    <t>Operations Center</t>
  </si>
  <si>
    <t>Centralized IT Operations Center resources including monitoring and intervention e.g., NOC (network operations center), GOC (global operations center).</t>
  </si>
  <si>
    <t>0.2.5</t>
  </si>
  <si>
    <t>IT Service Design and Improvement</t>
  </si>
  <si>
    <t>Resources involved with designing, monitoring, reporting, and improving services, including the associated service catalogue, service measures, and service agreements.</t>
  </si>
  <si>
    <t>Security &amp; Compliance</t>
  </si>
  <si>
    <t>The Security &amp; Compliance tower includes service costs related to IT security compliance and disaster recovery. The scope includes costs to define, establish, enforce, and measure security, compliance, and disaster recovery readiness for the enterprise.</t>
  </si>
  <si>
    <t>0.3.1</t>
  </si>
  <si>
    <t>Security</t>
  </si>
  <si>
    <t>IT Security resources setting policy, establishing process &amp; means, measuring compliance and responding to security breaches and providing real-time operational security such as vulnerability scanning, managing firewalls, intrusion prevention systems, and security
information and event management (SIEM). Optional Level 3 categories include: Cyber Security. The implementation actions defined by security policies (e.g. mitigating security breaches by applying patches) are not included in the Security sub-tower and are part of the respective towers where the actions take place (e.g. Compute, Storage, Network).</t>
  </si>
  <si>
    <t>0.3.2</t>
  </si>
  <si>
    <t>Compliance</t>
  </si>
  <si>
    <r>
      <t xml:space="preserve">IT Compliance resources setting policy, establishing controls and measuring compliance to relevant legal and compliance requirements. </t>
    </r>
    <r>
      <rPr>
        <sz val="11"/>
        <rFont val="Calibri"/>
        <family val="2"/>
        <scheme val="minor"/>
      </rPr>
      <t xml:space="preserve">Optional Level 3 categories include: Data Privacy. </t>
    </r>
    <r>
      <rPr>
        <sz val="11"/>
        <color theme="1"/>
        <rFont val="Calibri"/>
        <family val="2"/>
        <scheme val="minor"/>
      </rPr>
      <t>The implementation actions defined by Compliance policy (e.g. implementing controls like multi-factor authentication) are not included in the Compliance subtower and are part of the respective towers where the actions take place (e.g. Compute, Storage, Network, Application, End User).</t>
    </r>
  </si>
  <si>
    <t>0.3.3</t>
  </si>
  <si>
    <t>Disaster Recovery</t>
  </si>
  <si>
    <t>IT Disaster Recovery resources setting DR policy, establishing process &amp; means, dedicated failover facilities, performing DR testing. NOTE: DR designated equipment is included directly in its own sub-tower (e.g., extra servers for DR are included in Compute tower, etc.). The implementation actions defined by Disaster Recovery policy (e.g. building DR servers) are not included in the Disaster &amp; Recovery sub-tower and are part of the respective towers where the actions take place (e.g. Compute, Storage, Network).</t>
  </si>
  <si>
    <t>0.3.4</t>
  </si>
  <si>
    <t>Federal Records Mgmt</t>
  </si>
  <si>
    <t>Resources establishing process, means and controls for ensuring compliance with the Federal Government's policies and procedures for creating, maintaining, and disposing of Federal electronic and digitized paper records.</t>
  </si>
  <si>
    <t>Data Center</t>
  </si>
  <si>
    <t>Data Centers are purpose-built facilities to securely house computer equipment. Data Centers provide racks/cabinets &amp; cabling, clean &amp; redundant power, data connectivity, environmental controls including temperature, humidity and fire suppression, physical security and the people to run and operate the facility and its infrastructure.</t>
  </si>
  <si>
    <t>1.1.1</t>
  </si>
  <si>
    <t xml:space="preserve">Enterprise Data Center </t>
  </si>
  <si>
    <t>Purpose-built data center facilities that house and protect critical IT equipment including the space, power, environment controls, racks, cabling and "smart hand" support.</t>
  </si>
  <si>
    <t>1.1.2</t>
  </si>
  <si>
    <t xml:space="preserve">Other IT Facilities </t>
  </si>
  <si>
    <t>Computer rooms and MDF/IDF/telco closets that house IT equipment in corporate headquarters, call centers or other general purpose office buildings.</t>
  </si>
  <si>
    <t>1.1.3</t>
  </si>
  <si>
    <t>IT Transport Vehicles &amp; Equipment</t>
  </si>
  <si>
    <t>Vehicles and equipment for transport of IT personnel and assets.</t>
  </si>
  <si>
    <t>1.1.4</t>
  </si>
  <si>
    <t>IT Office Furniture &amp; Supplies</t>
  </si>
  <si>
    <t>Furniture and supplies for IT offices.</t>
  </si>
  <si>
    <t>Network</t>
  </si>
  <si>
    <t>Network includes the data and voice equipment along with the transport methods to connect systems and people and to enable people to converse. Networks provide core connectivity within the enterprise data centers as well as connectivity to and access within office building and remote locations.</t>
  </si>
  <si>
    <t>1.2.1</t>
  </si>
  <si>
    <t>LAN/WAN</t>
  </si>
  <si>
    <t>Physical and wireless local area network connecting equipment within the core data centers and connecting end users in office working areas to the organization's broader networks. Wide area network equipment, labor and support services directly connecting data centers, offices and third parties (excludes telecom and communication services). Optional Level 3 categories include: LAN, WAN.</t>
  </si>
  <si>
    <t>1.2.2</t>
  </si>
  <si>
    <t>Voice</t>
  </si>
  <si>
    <t>Voice resources which enable or distribute voice services through on premise equipment including PBX, VoIP, voicemail and handsets (excludes telecom and communication services).</t>
  </si>
  <si>
    <t>1.2.3</t>
  </si>
  <si>
    <t>Transport</t>
  </si>
  <si>
    <t>Data network circuits and associated access facilities and services; includes dedicated and virtual data networks and internet access. Also includes usage associated with mobility and other data transit based on usage billing. Voice network circuits and associated access facilities and services. Also includes usage associated with standard telephone calls and 800 number service. Both voice and data transport may include terrestrial and non-terrestrial (e.g., satellite) technologies. Optional Level 3 categories include: Data, Voice.</t>
  </si>
  <si>
    <t>Compute</t>
  </si>
  <si>
    <t>Compute refers to both general and special-purpose devices and software that are programmed to carry out a set of arithmetic or logical operations. In essence, it provides the “brains” to process application and user requests. Compute includes a wide range of physical and virtual servers differentiated by platform and operating system. The Compute tower should include all direct hardware, software, labor and outside service costs.</t>
  </si>
  <si>
    <t>2.1.1</t>
  </si>
  <si>
    <t>Servers</t>
  </si>
  <si>
    <t>Physical and virtual servers running a version of Microsoft's Windows Server or the Linux operating system; includes hardware, software, labor and support services. Optional Level 3 categories include: Windows, Linux and Public Cloud Compute.</t>
  </si>
  <si>
    <t>2.1.2</t>
  </si>
  <si>
    <t>Unix</t>
  </si>
  <si>
    <t>Servers running vendor-specific, proprietary Unix operating systems (e.g., IBM AIX, Sun Solaris, HP UX); includes hardware, software, labor and support services.</t>
  </si>
  <si>
    <t>2.1.3</t>
  </si>
  <si>
    <t>Midrange</t>
  </si>
  <si>
    <t>Servers running IBM AS/400 platform including hardware, software, labor and support services.</t>
  </si>
  <si>
    <t>2.1.4</t>
  </si>
  <si>
    <t>Converged Infrastructure</t>
  </si>
  <si>
    <t>Purpose-built appliances that provide compute, storage and network capabilities in one box.</t>
  </si>
  <si>
    <t>2.1.5</t>
  </si>
  <si>
    <t>Mainframe</t>
  </si>
  <si>
    <t>Traditional mainframe computers and operations running legacy operating systems.</t>
  </si>
  <si>
    <t>2.1.6</t>
  </si>
  <si>
    <t>High Performance Computing</t>
  </si>
  <si>
    <t xml:space="preserve">Purpose-built servers that use  parallel processing and clustering for running advanced application programs and for solving complex computational problems efficiently, reliably and quickly. </t>
  </si>
  <si>
    <t>Storage</t>
  </si>
  <si>
    <t>Storage provides centralized data storage and securely holds information and data to be retrieved later. Storage may hold data for application programs and code, databases, files, media, email and many other forms of information. The storage tower includes distributed and mainframe storage that provides on-line storage for real-time access and archival storage solutions that may enable near-term retrieval or long-term archival. The storage tower excludes the internal storage included with a typical server configuration or end-user device such as a laptop, desktop or mobile phone, or tablet.</t>
  </si>
  <si>
    <t>2.2.1</t>
  </si>
  <si>
    <t>Online Storage</t>
  </si>
  <si>
    <t>Central storage such as SAN, NAS and similar technologies for the distributed compute infrastructure; includes the equipment, software and labor to run and operate. Optional Level 3 categories include: On-Premise, Public Cloud Storage.</t>
  </si>
  <si>
    <t>2.2.2</t>
  </si>
  <si>
    <t>Offline Storage</t>
  </si>
  <si>
    <t>Offline storage resources used for archive, backup &amp; recovery to support data loss, data corruption, disaster recovery and compliance requirements of the distributed storage.</t>
  </si>
  <si>
    <t>2.2.3</t>
  </si>
  <si>
    <t>Mainframe Online Storage</t>
  </si>
  <si>
    <t>Mainframe attached storage arrays and the associated equipment, software and labor to run and operate.</t>
  </si>
  <si>
    <t>2.2.4</t>
  </si>
  <si>
    <t>Mainframe Offline Storage</t>
  </si>
  <si>
    <t>Any storage resources used for archive, backup &amp; recovery to support data loss, data corruption, disaster recovery and compliance requirements of the mainframe storage.</t>
  </si>
  <si>
    <t xml:space="preserve">Output </t>
  </si>
  <si>
    <t>Output includes the central print services to provide high-volume printing of customer bills, checks, product documentation or other customer support materials. Output also includes additional post print processing support (e.g. fold, stuff, apply postage, bundle).</t>
  </si>
  <si>
    <t>2.3.1</t>
  </si>
  <si>
    <t>Central Print</t>
  </si>
  <si>
    <t>Central print services; often provided to support customer billing or customer documentation support processes. Unit of measure: page.</t>
  </si>
  <si>
    <t>Platform</t>
  </si>
  <si>
    <t>Platform includes all costs associated with distributed and mainframe databases and middleware systems. Costs include DBMS software and tools, labor and outside services.</t>
  </si>
  <si>
    <t>2.4.1</t>
  </si>
  <si>
    <t>Database</t>
  </si>
  <si>
    <t>Distributed database services focused on the physical database (versus the logical design) including DBAs, DBMS, tools and operational support.</t>
  </si>
  <si>
    <t>2.4.2</t>
  </si>
  <si>
    <t>Middleware</t>
  </si>
  <si>
    <t>Distributed platform, application and system integration resources enabling cross application development, communications and information sharing.</t>
  </si>
  <si>
    <t>2.4.3</t>
  </si>
  <si>
    <t>Mainframe Database</t>
  </si>
  <si>
    <t>Mainframe database services focused on the physical database (versus the logical design) including the DBAs, DBMS, tools and operational support.</t>
  </si>
  <si>
    <t>2.4.4</t>
  </si>
  <si>
    <t>Mainframe Middleware</t>
  </si>
  <si>
    <t>Mainframe platform, application and system integration resources enabling cross application development, communications and information sharing.</t>
  </si>
  <si>
    <t>2.4.5</t>
  </si>
  <si>
    <t>Container Orchestration</t>
  </si>
  <si>
    <t>Tools and resources for managing the lifecycles of containers. Includes the control and automation of tasks such as provisioning and deployment of containers, maintaining availability, scaling up or removing containers to manage application loads, relocating containers, allocating resources for containers, and monitoring container and host health.</t>
  </si>
  <si>
    <t>2.4.6</t>
  </si>
  <si>
    <t>Big Data</t>
  </si>
  <si>
    <t>Systems and resources for integrating, managing and analyzing high volumes of low density, unstructured data that is received at high rates of velocity.</t>
  </si>
  <si>
    <t>Application</t>
  </si>
  <si>
    <t>The Application tower includes costs related to applications in the enterprise. The scope includes the cost of business software and the costs to develop, manage and run applications for the enterprise.</t>
  </si>
  <si>
    <t>3.1.1</t>
  </si>
  <si>
    <t>Application Development</t>
  </si>
  <si>
    <t>Resources involved with the analysis, design, development, code, test and release packaging services associated with application development projects. Optional Level 3 categories include: Development, QA</t>
  </si>
  <si>
    <t>3.1.2</t>
  </si>
  <si>
    <t>Application Support &amp; Operations</t>
  </si>
  <si>
    <t>The operations, support, fix and minor enhancements associated with existing applications.</t>
  </si>
  <si>
    <t>3.1.3</t>
  </si>
  <si>
    <t>Business Software</t>
  </si>
  <si>
    <t>Software expenditures including licensing, maintenance and support related to off-the-shelf software purchases.</t>
  </si>
  <si>
    <t>3.1.4</t>
  </si>
  <si>
    <t>Data Mgmt &amp; Operations</t>
  </si>
  <si>
    <t xml:space="preserve">The applications and services  supporting the data management and data operations of the enterprise, including but not limited to Data Governance, Master Data Management, Metadata Management, Data Quality, Data Synchronization, Data Interoperability, Database and Schema Design, and File Management. </t>
  </si>
  <si>
    <t>3.1.5</t>
  </si>
  <si>
    <t>Data Sourcing &amp; Maintenance</t>
  </si>
  <si>
    <t>The subscriptions, processes, and procedures for acquiring, perfecting and maintaining data sources and data services for use. It also includes maintenance of reference, translation, and validation data used by multiple applications.</t>
  </si>
  <si>
    <t>End User</t>
  </si>
  <si>
    <t>End User includes end user computing devices and support for end users.  The scope includes costs to build, manage and run end user computing devices for the enterprise and deliver centralized support to end users.</t>
  </si>
  <si>
    <t>4.1.1</t>
  </si>
  <si>
    <t>Workspace</t>
  </si>
  <si>
    <t>Client compute physical desktops, portable laptops, thin client machines, peripherals (including monitors, pointer devices and attached personal printers) used by individuals to perform work.</t>
  </si>
  <si>
    <t>4.1.2</t>
  </si>
  <si>
    <t>Mobile Devices</t>
  </si>
  <si>
    <t>Client compute tablets, smart phones (iOS, Android, Windows Mobile) and apps used by individuals to perform work.</t>
  </si>
  <si>
    <t>4.1.3</t>
  </si>
  <si>
    <t>End User Software</t>
  </si>
  <si>
    <t>Client related software used to author, create, collaborate and share documents and other content. Examples include email, communications, messaging, word processing, spreadsheets, presentations, desktop publishing, graphics and others. Optional Level 3
categories include Productivity; Communications; Collaboration.</t>
  </si>
  <si>
    <t>4.1.4</t>
  </si>
  <si>
    <t>Network Printers</t>
  </si>
  <si>
    <t>Printers located on or near users’ desktops. Examples include network connected personal printers, ink-jet printers, laser printers, departmental or copy-room printers. Only include network connected printers. Do not include printers connected to an end user computer.</t>
  </si>
  <si>
    <t>4.1.5</t>
  </si>
  <si>
    <t>Conferencing &amp; AV</t>
  </si>
  <si>
    <t>Audio and video conferencing equipment typically used in conference rooms and dedicated telepresence rooms to enable workforce communications.</t>
  </si>
  <si>
    <t>4.1.6</t>
  </si>
  <si>
    <t>IT Help Desk</t>
  </si>
  <si>
    <t>Centralized Tier 1 help desk resources that handle user requests, answer questions and resolve issues.</t>
  </si>
  <si>
    <t>4.1.7</t>
  </si>
  <si>
    <t>Deskside Support</t>
  </si>
  <si>
    <t>Local support resources that provide on-site support for moves, adds, changes and hands on issue resolution.</t>
  </si>
  <si>
    <t>4.1.8</t>
  </si>
  <si>
    <t>Application Training</t>
  </si>
  <si>
    <t>The resources involved with the analysis, design, development, and delivery of training on applications and software tools.</t>
  </si>
  <si>
    <t>Business Facilities, Equipment &amp; Supplies</t>
  </si>
  <si>
    <t>6.1.1</t>
  </si>
  <si>
    <t>Business Facilities</t>
  </si>
  <si>
    <t>Facilities that house business division management and operations.</t>
  </si>
  <si>
    <t>6.1.2</t>
  </si>
  <si>
    <t>Business Transport Vehicles &amp; Equipment</t>
  </si>
  <si>
    <t>Vehicles and equipment for transport of business division personnel and assets.</t>
  </si>
  <si>
    <t>6.1.3</t>
  </si>
  <si>
    <t xml:space="preserve">Business Office Furniture &amp; Supplies </t>
  </si>
  <si>
    <t>Furniture and supplies for business division offices.</t>
  </si>
  <si>
    <t>Business Delivery Mgmt &amp; Support</t>
  </si>
  <si>
    <t>6.2.1</t>
  </si>
  <si>
    <t>Business Program, Product &amp; Project  Mgmt</t>
  </si>
  <si>
    <t>Resources involved with managing and supporting business division programs, products/services, or projects.</t>
  </si>
  <si>
    <t>6.2.2</t>
  </si>
  <si>
    <t>Transaction/Information Processing</t>
  </si>
  <si>
    <t xml:space="preserve">Resources supporting the manual and semi-automated pre-processing or processing of business transactions, information, and documents, including scanning, data entry, tagging, categorizing, and enhancing with additional information.  </t>
  </si>
  <si>
    <t>6.2.3</t>
  </si>
  <si>
    <t>Business Function Training</t>
  </si>
  <si>
    <t>The resources involved with the analysis, design, development, and delivery of training on specific business functions (e.g., financial management, grants management).</t>
  </si>
  <si>
    <t>6.2.4</t>
  </si>
  <si>
    <t>Reporting and Data Analysis</t>
  </si>
  <si>
    <t>Resources providing reporting and data analysis services for internal and external operations, financial, performance, and compliance reporting.</t>
  </si>
  <si>
    <t>Compliance &amp; Controls</t>
  </si>
  <si>
    <t>6.3.1</t>
  </si>
  <si>
    <t>Regulation and Policy Guidance</t>
  </si>
  <si>
    <t>Resources providing specialized knowledge such as guidance on regulations, policies and processes pertaining to specific business functions</t>
  </si>
  <si>
    <t>6.3.2</t>
  </si>
  <si>
    <t>Internal Control &amp; Audit</t>
  </si>
  <si>
    <t>Resources for assessing operational effectiveness and efficiency, quality, reliable reporting, and compliance with laws, regulations and policies.</t>
  </si>
  <si>
    <t>6.3.3</t>
  </si>
  <si>
    <t>Continuity of Operations (COOP)</t>
  </si>
  <si>
    <t>Resources for ensuring the continuance of business operations until critical services or systems are restored.</t>
  </si>
  <si>
    <t>Business Management</t>
  </si>
  <si>
    <t>6.4.1</t>
  </si>
  <si>
    <t>Business Management &amp; Strategic Planning</t>
  </si>
  <si>
    <t>Business management and administration resources; typically
CEO, CFO, CHCO, CAO, and other senior business division leaders and administrative support including centralized business strategy and planning.</t>
  </si>
  <si>
    <t>6.4.2</t>
  </si>
  <si>
    <t>Business Finance</t>
  </si>
  <si>
    <t>Resources involved in the planning, budgeting, spend management and chargeback of business division expenditures and the costing of business division products and services.</t>
  </si>
  <si>
    <t>6.4.3</t>
  </si>
  <si>
    <t>Business Vendor Management</t>
  </si>
  <si>
    <t>Resources involved in the selection, contract management, oversight, performance management and general delivery of business services by 3rd party vendors and external service providers.</t>
  </si>
  <si>
    <t>6.4.4</t>
  </si>
  <si>
    <t>Business Human Capital Management</t>
  </si>
  <si>
    <t>Resources involved in the acquisition, development, performance management, compensation, and separation of business division personnel. Included are initial and periodic personnel background investigations and drug testing, as well as training on organizational policies and procedures.</t>
  </si>
  <si>
    <t>6.4.5</t>
  </si>
  <si>
    <t>Business Personnel Travel</t>
  </si>
  <si>
    <t>Any business division personnel travel related to official work.</t>
  </si>
  <si>
    <t>Service Components List</t>
  </si>
  <si>
    <t>Service Component ID</t>
  </si>
  <si>
    <t>Service Component Name</t>
  </si>
  <si>
    <t xml:space="preserve">Service Component Notes </t>
  </si>
  <si>
    <t>Service Layer</t>
  </si>
  <si>
    <t>Service Type</t>
  </si>
  <si>
    <t>Sub-Tower Name</t>
  </si>
  <si>
    <t>Cost Pool ID</t>
  </si>
  <si>
    <t>Cost Pool Name</t>
  </si>
  <si>
    <t>Sub-Cost Pool ID</t>
  </si>
  <si>
    <t>Sub-Cost Pool Name</t>
  </si>
  <si>
    <t>ITIL Practice Area: Practice</t>
  </si>
  <si>
    <t>0.01.01</t>
  </si>
  <si>
    <t>Executive Management Personnel - Government</t>
  </si>
  <si>
    <t>Includes pay and other benefits</t>
  </si>
  <si>
    <t>SL0: Service Delivery Management</t>
  </si>
  <si>
    <t>Internal Labor</t>
  </si>
  <si>
    <t>Expense</t>
  </si>
  <si>
    <t>General Management: Project Management;
General Management: Relationship Management</t>
  </si>
  <si>
    <t>0.01.02</t>
  </si>
  <si>
    <t>Executive Management Personnel - Contractor</t>
  </si>
  <si>
    <t/>
  </si>
  <si>
    <t>External Labor</t>
  </si>
  <si>
    <t>0.02.01</t>
  </si>
  <si>
    <t>Program Management Personnel - Government</t>
  </si>
  <si>
    <t xml:space="preserve">General Management: Project Management;
General Management: Relationship Management;
General Management: Risk Management;
General Management: Knowledge Management
</t>
  </si>
  <si>
    <t>0.02.02</t>
  </si>
  <si>
    <t>Program Management Personnel - Contractor</t>
  </si>
  <si>
    <t>0.02.03.01</t>
  </si>
  <si>
    <t>Program Management Tools Support Personnel - Government</t>
  </si>
  <si>
    <t>0.02.03.02</t>
  </si>
  <si>
    <t>Program Management Tools Support Personnel - Contractor</t>
  </si>
  <si>
    <t>0.02.03.03</t>
  </si>
  <si>
    <t>Program Management Tools Software License</t>
  </si>
  <si>
    <t>Licensing</t>
  </si>
  <si>
    <t>0.02.03.04</t>
  </si>
  <si>
    <t>Program Management Tools Software Vendor Support</t>
  </si>
  <si>
    <t>0.02.04</t>
  </si>
  <si>
    <t>Project Management Personnel - Government</t>
  </si>
  <si>
    <t xml:space="preserve">General Management: Project Management;
General Management: Relationship Management;
General Management: Risk Management
</t>
  </si>
  <si>
    <t>0.02.05</t>
  </si>
  <si>
    <t>Project Management Personnel - Contractor</t>
  </si>
  <si>
    <t>0.02.06.01</t>
  </si>
  <si>
    <t>Project Management Tools Support Personnel - Government</t>
  </si>
  <si>
    <t>0.02.06.02</t>
  </si>
  <si>
    <t>Project Management Tools Support Personnel - Contractor</t>
  </si>
  <si>
    <t>0.02.06.03</t>
  </si>
  <si>
    <t>Project Management Tools Software License</t>
  </si>
  <si>
    <t>0.02.06.04</t>
  </si>
  <si>
    <t>Project Management Tools Software Vendor Support</t>
  </si>
  <si>
    <t>0.03.01</t>
  </si>
  <si>
    <t>Program/Project Management Evaluation Personnel - Government</t>
  </si>
  <si>
    <t xml:space="preserve">General Management: Project Management
</t>
  </si>
  <si>
    <t>0.03.02</t>
  </si>
  <si>
    <t>Program/Project Management Evaluation Personnel - Contractor</t>
  </si>
  <si>
    <t>0.04.01</t>
  </si>
  <si>
    <t>Enterprise Architecture Engineering Personnel - Government</t>
  </si>
  <si>
    <t>General Management: Architecture Management</t>
  </si>
  <si>
    <t>0.04.02</t>
  </si>
  <si>
    <t>Enterprise Architecture Engineering Personnel - Contractor</t>
  </si>
  <si>
    <t>0.04.03.01</t>
  </si>
  <si>
    <t>Enterprise Architecture Engineering Tools Support Personnel - Government</t>
  </si>
  <si>
    <t>0.04.03.02</t>
  </si>
  <si>
    <t>Enterprise Architecture Engineering Tools Support Personnel - Contractor</t>
  </si>
  <si>
    <t>0.04.03.03</t>
  </si>
  <si>
    <t>Enterprise Architecture Engineering Tools Software License</t>
  </si>
  <si>
    <t>0.04.03.04</t>
  </si>
  <si>
    <t>Enterprise Architecture Engineering Tools Software Vendor Support</t>
  </si>
  <si>
    <t>0.05.01</t>
  </si>
  <si>
    <t>Service Strategy Management Personnel - Government</t>
  </si>
  <si>
    <t>General Management: Strategy Management;
General Management: Portfolio Management</t>
  </si>
  <si>
    <t>0.05.02</t>
  </si>
  <si>
    <t>Service Strategy Management Personnel - Contractor</t>
  </si>
  <si>
    <t>0.05.03.01</t>
  </si>
  <si>
    <t>Service Strategy Management Tools Support Personnel - Government</t>
  </si>
  <si>
    <t>0.05.03.02</t>
  </si>
  <si>
    <t>Service Strategy Management Tools Support Personnel - Contractor</t>
  </si>
  <si>
    <t>0.05.03.03</t>
  </si>
  <si>
    <t>Service Strategy Management Tools Software Licenses</t>
  </si>
  <si>
    <t>0.05.03.04</t>
  </si>
  <si>
    <t>Service Strategy Management Tools Software Vendor Support</t>
  </si>
  <si>
    <t>0.06.01</t>
  </si>
  <si>
    <t>Service Design Management Personnel - Government</t>
  </si>
  <si>
    <t xml:space="preserve">Provide coordination and integration between SL0-7 for these processes
Includes pay and other benefits
</t>
  </si>
  <si>
    <t>Service Management: Business Analysis;
Service Management: Change Control;
Service Management: Release Management;
Service Management: Service Catalogue Management;
Service Management: Service Design;
Service Management: Service Level Management</t>
  </si>
  <si>
    <t>0.06.02</t>
  </si>
  <si>
    <t>Service Design Management Personnel - Contractor</t>
  </si>
  <si>
    <t>Provide coordination and integration between SL0-7 for these processes</t>
  </si>
  <si>
    <t>0.06.03.01</t>
  </si>
  <si>
    <t>Service Design Management Tools Support Personnel - Government</t>
  </si>
  <si>
    <t>0.06.03.02</t>
  </si>
  <si>
    <t>Service Design Management Tools Support Personnel - Contractor</t>
  </si>
  <si>
    <t>0.06.03.03</t>
  </si>
  <si>
    <t>Service Design Management Tools Software Licenses</t>
  </si>
  <si>
    <t>0.06.03.04</t>
  </si>
  <si>
    <t>Service Design Management Tools Software Vendor Support</t>
  </si>
  <si>
    <t>0.07.01</t>
  </si>
  <si>
    <t>Service Transition Management Personnel - Government</t>
  </si>
  <si>
    <t>General Management: Organizational Change Management;
Technical Management: Deployment Management</t>
  </si>
  <si>
    <t>0.07.02</t>
  </si>
  <si>
    <t>Service Transition Management Personnel - Contractor</t>
  </si>
  <si>
    <t>0.07.03.01</t>
  </si>
  <si>
    <t>Service Transition Management Tools Support Personnel - Government</t>
  </si>
  <si>
    <t>0.07.03.02</t>
  </si>
  <si>
    <t>Service Transition Management Tools Support Personnel - Contractor</t>
  </si>
  <si>
    <t>0.07.03.03</t>
  </si>
  <si>
    <t>Service Transition Management Tools Software Licenses</t>
  </si>
  <si>
    <t>0.07.03.04</t>
  </si>
  <si>
    <t>Service Transition Management Tools Software Vendor Support</t>
  </si>
  <si>
    <t>0.08.01</t>
  </si>
  <si>
    <t>Service Operation Management Personnel - Government</t>
  </si>
  <si>
    <t xml:space="preserve">General Management: Measurement and Reporting;
Service Management: Availability Management;
Service Management: Capacity and Performance Management; 
Service Management: IT Asset Management;
Service Management: Monitoring and Event Management;
Service Management: Service Configuration Management
</t>
  </si>
  <si>
    <t>0.08.02</t>
  </si>
  <si>
    <t>Service Operation Management Personnel - Contractor</t>
  </si>
  <si>
    <t>0.08.03.01</t>
  </si>
  <si>
    <t>Service Operation Management Tools Support Personnel - Government</t>
  </si>
  <si>
    <t>0.08.03.02</t>
  </si>
  <si>
    <t>Service Operation Management Tools Support Personnel - Contractor</t>
  </si>
  <si>
    <t>0.08.03.03</t>
  </si>
  <si>
    <t>Service Operation Management Tools Software Licenses</t>
  </si>
  <si>
    <t>0.08.03.04</t>
  </si>
  <si>
    <t>Service Operation Management Tools Software Vendor Support</t>
  </si>
  <si>
    <t>0.09.01</t>
  </si>
  <si>
    <t>Continual Service Improvement Management Personnel - Government</t>
  </si>
  <si>
    <t>Provides coordination and integration between SL0-7 for these processes as well as Service Improvement Initiatives
Includes pay and other benefits</t>
  </si>
  <si>
    <t>General Management: Continual Improvement</t>
  </si>
  <si>
    <t>0.09.02</t>
  </si>
  <si>
    <t>Continual Service Improvement Management Personnel - Contractor</t>
  </si>
  <si>
    <t>Provides coordination and integration between SL0-7 for these processes as well as Service Improvement Initiatives</t>
  </si>
  <si>
    <t>0.09.03.01</t>
  </si>
  <si>
    <t>Continual Service Improvement Management Tools Support Personnel - Government</t>
  </si>
  <si>
    <t>0.09.03.02</t>
  </si>
  <si>
    <t>Continual Service Improvement Management Tools Support Personnel - Contractor</t>
  </si>
  <si>
    <t>0.09.03.03</t>
  </si>
  <si>
    <t>Continual Service Improvement Management Tools Software Licenses</t>
  </si>
  <si>
    <t>0.09.03.04</t>
  </si>
  <si>
    <t>Continual Service Improvement Management Tools Software Vendor Support</t>
  </si>
  <si>
    <t>0.10.01</t>
  </si>
  <si>
    <t>Information Technology Service Management (ITSM) Tools Support Personnel - Government</t>
  </si>
  <si>
    <t>Provides tools in support of ITIL processes performed in SL0-7
Includes pay and other benefits</t>
  </si>
  <si>
    <t>Technical Management: Infrastructure and Platform Management</t>
  </si>
  <si>
    <t>0.10.02</t>
  </si>
  <si>
    <t>Information Technology Service Management (ITSM) Tools Support Personnel - Contractor</t>
  </si>
  <si>
    <t>Provides tools in support of ITIL processes performed in SL0-7</t>
  </si>
  <si>
    <t>0.10.03</t>
  </si>
  <si>
    <t>Information Technology Service Management (ITSM) Tools Software Licenses</t>
  </si>
  <si>
    <t>0.10.04</t>
  </si>
  <si>
    <t>Information Technology Service Management (ITSM) Tools Software Vendor Support</t>
  </si>
  <si>
    <t>0.11.01</t>
  </si>
  <si>
    <t>Finance and Accounting Support Personnel - Government</t>
  </si>
  <si>
    <t>General Management: Service Financial Management</t>
  </si>
  <si>
    <t>0.11.02</t>
  </si>
  <si>
    <t>Finance and Accounting Support Personnel - Contractor</t>
  </si>
  <si>
    <t>0.11.03</t>
  </si>
  <si>
    <t>Finance and Accounting Support Systems License</t>
  </si>
  <si>
    <t>0.11.04</t>
  </si>
  <si>
    <t>Finance and Accounting Support Systems Vendor Support</t>
  </si>
  <si>
    <t>0.12.01</t>
  </si>
  <si>
    <t>HR Support Personnel - Government</t>
  </si>
  <si>
    <t>General Management: Workforce and Talent Management</t>
  </si>
  <si>
    <t>0.12.02</t>
  </si>
  <si>
    <t>HR Support Personnel - Contractor</t>
  </si>
  <si>
    <t>0.12.03</t>
  </si>
  <si>
    <t>HR Support Systems License</t>
  </si>
  <si>
    <t>0.12.04</t>
  </si>
  <si>
    <t>HR Support Systems Vendor Support</t>
  </si>
  <si>
    <t>0.13.01</t>
  </si>
  <si>
    <t>Acquisition Support Personnel - Government</t>
  </si>
  <si>
    <t>General Management: Supplier Management</t>
  </si>
  <si>
    <t>0.13.02</t>
  </si>
  <si>
    <t>Acquisition Support Personnel - Contractor</t>
  </si>
  <si>
    <t>0.13.03</t>
  </si>
  <si>
    <t>Acquisition Support Systems License</t>
  </si>
  <si>
    <t>0.13.04</t>
  </si>
  <si>
    <t>Acquisition Support Systems Vendor Support</t>
  </si>
  <si>
    <t>0.14.01.01</t>
  </si>
  <si>
    <t>Information System Security Assessment (SA) Personnel - Government</t>
  </si>
  <si>
    <t>General Management: Information Security Management</t>
  </si>
  <si>
    <t>0.14.01.02</t>
  </si>
  <si>
    <t>Information System Security Assessment (SA) Personnel - Contractor</t>
  </si>
  <si>
    <t>0.14.02.01</t>
  </si>
  <si>
    <t>Vulnerability Scanning Personnel - Government</t>
  </si>
  <si>
    <t>0.14.02.02</t>
  </si>
  <si>
    <t>Vulnerability Scanning Personnel - Contractor</t>
  </si>
  <si>
    <t>0.14.03.01</t>
  </si>
  <si>
    <t>Security Documentation Personnel - Government</t>
  </si>
  <si>
    <t>0.14.03.02</t>
  </si>
  <si>
    <t>Security Documentation Personnel - Contractor</t>
  </si>
  <si>
    <t>0.14.04.01</t>
  </si>
  <si>
    <t>Independent Certification Assessments Personnel - Government</t>
  </si>
  <si>
    <t>0.14.04.02</t>
  </si>
  <si>
    <t>Independent Certification Assessments Personnel - Contractor</t>
  </si>
  <si>
    <t>0.14.05.01</t>
  </si>
  <si>
    <t>Information System Security Officer (ISSO) Personnel - Government</t>
  </si>
  <si>
    <t>Includes all aspects of security and security controls related to hardware (facility, hardware, software and network) and software technology stack
Includes pay and other benefits</t>
  </si>
  <si>
    <t>0.14.05.02</t>
  </si>
  <si>
    <t>Information System Security Officer (ISSO) Personnel - Contractor</t>
  </si>
  <si>
    <t>Includes all aspects of security and security controls related to hardware (facility, hardware, software and network) and software technology stack</t>
  </si>
  <si>
    <t>0.14.06.01</t>
  </si>
  <si>
    <t>Information System Security Authentication and Access Management Personnel - Government</t>
  </si>
  <si>
    <t xml:space="preserve"> Access Management which provides identity and access credentials (logical and physical) and authorization, and associated security features for the protection of federal information and information systems from unauthorized access, use, disclosure, disruptions, modification, or destruction
Includes pay and other benefits</t>
  </si>
  <si>
    <t>0.14.06.02</t>
  </si>
  <si>
    <t>Information System Security Authentication and Access Management Personnel - Contractor</t>
  </si>
  <si>
    <t xml:space="preserve"> Access Management which provides identity and access credentials (logical and physical) and authorization, and associated security features for the protection of federal information and information systems from unauthorized access, use, disclosure, disruptions, modification, or destruction</t>
  </si>
  <si>
    <t>0.14.07.01</t>
  </si>
  <si>
    <t>Privacy Assessment Personnel - Government</t>
  </si>
  <si>
    <t>0.14.07.02</t>
  </si>
  <si>
    <t>Privacy Assessment Personnel - Contractor</t>
  </si>
  <si>
    <t>0.14.08.01</t>
  </si>
  <si>
    <t>Security Risk and Compliance (R&amp;C) Personnel - Government</t>
  </si>
  <si>
    <t>0.14.08.02</t>
  </si>
  <si>
    <t>Security Risk and Compliance (R&amp;C) Personnel - Contractor</t>
  </si>
  <si>
    <t>0.14.09.01</t>
  </si>
  <si>
    <t>Security Continuous Monitoring (SCM) Personnel - Government</t>
  </si>
  <si>
    <t>0.14.09.02</t>
  </si>
  <si>
    <t>Security Continuous Monitoring (SCM) Personnel - Contractor</t>
  </si>
  <si>
    <t>0.14.10.01</t>
  </si>
  <si>
    <t>Information Privacy Tools Support Personnel - Government</t>
  </si>
  <si>
    <t>0.14.10.02</t>
  </si>
  <si>
    <t>Information Privacy Tools Support Personnel - Contractor</t>
  </si>
  <si>
    <t>0.14.10.03</t>
  </si>
  <si>
    <t>Information Privacy Tools License</t>
  </si>
  <si>
    <t>0.14.10.04</t>
  </si>
  <si>
    <t>Information Privacy Tools Vendor Support</t>
  </si>
  <si>
    <t>0.14.11.01</t>
  </si>
  <si>
    <t>Security Risk and Compliance (R&amp;C) Tools Support Personnel - Government</t>
  </si>
  <si>
    <t>0.14.11.02</t>
  </si>
  <si>
    <t>Security Risk and Compliance (R&amp;C) Tools Support Personnel - Contractor</t>
  </si>
  <si>
    <t>0.14.12.03</t>
  </si>
  <si>
    <t>Security Risk and Compliance (R&amp;C) Tools License</t>
  </si>
  <si>
    <t>0.14.12.04</t>
  </si>
  <si>
    <t>security Risk and Compliance (R&amp;C) Tools Vendor Support</t>
  </si>
  <si>
    <t>Security Continuous Monitoring (SCM) Tools Support Personnel - Government</t>
  </si>
  <si>
    <t>Security Continuous Monitoring (SCM) Tools Support Personnel - Contractor</t>
  </si>
  <si>
    <t>Security Continuous Monitoring (SCM) Tools License</t>
  </si>
  <si>
    <t>Security Continuous Monitoring (SCM) Tools Vendor Support</t>
  </si>
  <si>
    <t>0.15.01.01</t>
  </si>
  <si>
    <t>Disaster Recovery (DR) Personnel - Government</t>
  </si>
  <si>
    <t>Service Management: Service Continuity Management</t>
  </si>
  <si>
    <t>0.15.01.02</t>
  </si>
  <si>
    <t>Disaster Recovery (DR) Personnel - Contractor</t>
  </si>
  <si>
    <t>0.15.02.01</t>
  </si>
  <si>
    <t>Continuity of Operations (COOP) Personnel - Government</t>
  </si>
  <si>
    <t>Business Continuity of Operations</t>
  </si>
  <si>
    <t>0.15.02.02</t>
  </si>
  <si>
    <t>Continuity of Operations (COOP) Personnel - Contractor</t>
  </si>
  <si>
    <t>0.16.01</t>
  </si>
  <si>
    <t>Federal Records Management Personnel - Government</t>
  </si>
  <si>
    <t>0.3.6</t>
  </si>
  <si>
    <t>0.16.02</t>
  </si>
  <si>
    <t>Federal Records Management Personnel - Contractor</t>
  </si>
  <si>
    <t>0.16.03.01</t>
  </si>
  <si>
    <t>Federal Records Management Tools Support Personnel - Government</t>
  </si>
  <si>
    <t>0.16.03.02</t>
  </si>
  <si>
    <t>Federal Records Management Tools Support Personnel - Contractor</t>
  </si>
  <si>
    <t>0.16.03.03</t>
  </si>
  <si>
    <t>Federal Records Management Tools Software License</t>
  </si>
  <si>
    <t>0.16.03.04</t>
  </si>
  <si>
    <t>Federal Records Management Tools Software Vendor Support</t>
  </si>
  <si>
    <t>0.17.01.01</t>
  </si>
  <si>
    <t>Desktop Application Management Personnel - Government</t>
  </si>
  <si>
    <t>Includes tools and support for desktop applications and productivity tools used by the end-user such as Microsoft Office and collaboration software solutions
Includes pay and other benefits</t>
  </si>
  <si>
    <t>0.17.01.02</t>
  </si>
  <si>
    <t>Desktop Application Management Personnel - Contractor</t>
  </si>
  <si>
    <t>Includes tools and support for desktop applications and productivity tools used by the end-user such as Microsoft Office and collaboration software solutions</t>
  </si>
  <si>
    <t>0.17.01.03</t>
  </si>
  <si>
    <t>Desktop Application Support Personnel - Government</t>
  </si>
  <si>
    <t>0.17.01.04</t>
  </si>
  <si>
    <t>Desktop Application Support Personnel - Contractor</t>
  </si>
  <si>
    <t>0.17.02.01</t>
  </si>
  <si>
    <t>Desktop Application Support Tools Support Personnel - Government</t>
  </si>
  <si>
    <t>0.17.02.02</t>
  </si>
  <si>
    <t>Desktop Application Support Tools Support Personnel - Contractor</t>
  </si>
  <si>
    <t>0.17.02.03</t>
  </si>
  <si>
    <t>Desktop Application Support Tools Software Licenses</t>
  </si>
  <si>
    <t>0.17.02.04</t>
  </si>
  <si>
    <t>Desktop Application Support Tools Software Vendor Support</t>
  </si>
  <si>
    <t>0.17.03.01</t>
  </si>
  <si>
    <t>Deskside Application Support Tools Support Personnel - Government</t>
  </si>
  <si>
    <t>Includes tools and support for local support resources that provide on-site support for
moves, adds, changes and hands on issue resolution.
Includes pay and other benefits</t>
  </si>
  <si>
    <t>Service Management: Service Desk</t>
  </si>
  <si>
    <t>0.17.03.02</t>
  </si>
  <si>
    <t>Deskside Application Support Tools Support Personnel - Contractor</t>
  </si>
  <si>
    <t>Includes tools and support for local support resources that provide on-site support for
moves, adds, changes and hands on issue resolution.</t>
  </si>
  <si>
    <t>0.17.03.03</t>
  </si>
  <si>
    <t>Deskside Application Support Tools Software Licenses</t>
  </si>
  <si>
    <t>0.17.03.04</t>
  </si>
  <si>
    <t>Deskside Application Support Tools Software Vendor Support</t>
  </si>
  <si>
    <t>0.18.01</t>
  </si>
  <si>
    <t>Office Furniture</t>
  </si>
  <si>
    <t>Other</t>
  </si>
  <si>
    <t>8.1.1</t>
  </si>
  <si>
    <t>0.19.01</t>
  </si>
  <si>
    <t>Office Supplies</t>
  </si>
  <si>
    <t>0.20.01</t>
  </si>
  <si>
    <t>Office Technology Configuration</t>
  </si>
  <si>
    <t>Includes cabling to enable office space network connectivity of end-user computing and peripheral devices both wired and wireless</t>
  </si>
  <si>
    <t>0.21.01</t>
  </si>
  <si>
    <t>Government Vehicles and Transport Equipment</t>
  </si>
  <si>
    <t>0.22.01</t>
  </si>
  <si>
    <t>Postage/Shipping</t>
  </si>
  <si>
    <t>0.23.01</t>
  </si>
  <si>
    <t>Service Improvement Initiatives – Government Personnel</t>
  </si>
  <si>
    <t>0.23.02</t>
  </si>
  <si>
    <t>Service Improvement Initiatives – Contractor Personnel</t>
  </si>
  <si>
    <t>0.24.01</t>
  </si>
  <si>
    <t>Background Investigations - Government Personnel</t>
  </si>
  <si>
    <t>0.24.02</t>
  </si>
  <si>
    <t>Background Investigations - Contractor Personnel</t>
  </si>
  <si>
    <t>0.25.01</t>
  </si>
  <si>
    <t>Travel - Government Personnel</t>
  </si>
  <si>
    <t>0.25.02</t>
  </si>
  <si>
    <t>Travel - Contractor Personnel</t>
  </si>
  <si>
    <t>0.26.01</t>
  </si>
  <si>
    <t>Training - Government Personnel</t>
  </si>
  <si>
    <t>0.26.02</t>
  </si>
  <si>
    <t>Training - Contractor Personnel</t>
  </si>
  <si>
    <t>1.01.01</t>
  </si>
  <si>
    <t>Facility Management Personnel - Government</t>
  </si>
  <si>
    <t>SL1: Facilities-Telecom Management</t>
  </si>
  <si>
    <t>1.01.02</t>
  </si>
  <si>
    <t>Facility Management Personnel - Contractor</t>
  </si>
  <si>
    <t>1.02.01</t>
  </si>
  <si>
    <t>Facility Building/Floor Space</t>
  </si>
  <si>
    <t>Purpose-built data center facilities that house and protect critical IT equipment including the space, power, environment controls, racks, cabling and "smart hand"
support.</t>
  </si>
  <si>
    <t>Facilities and Power</t>
  </si>
  <si>
    <t>Lease</t>
  </si>
  <si>
    <t>1.02.02</t>
  </si>
  <si>
    <t xml:space="preserve">Building/Floor Space-Other Facilities </t>
  </si>
  <si>
    <t xml:space="preserve">Other Facilities </t>
  </si>
  <si>
    <t>1.03.01.01</t>
  </si>
  <si>
    <t>HVAC</t>
  </si>
  <si>
    <t>1.03.01.02</t>
  </si>
  <si>
    <t>HVAC Operations</t>
  </si>
  <si>
    <t>1.03.01.03</t>
  </si>
  <si>
    <t>HVAC Maintenance Services</t>
  </si>
  <si>
    <t>1.03.02.01</t>
  </si>
  <si>
    <t>HVAC-Other Facilities</t>
  </si>
  <si>
    <t>1.03.02.02</t>
  </si>
  <si>
    <t>HVAC Operations-Other Facilities</t>
  </si>
  <si>
    <t>1.03.02.03</t>
  </si>
  <si>
    <t>HVAC Maintenance Services-Other Facilities</t>
  </si>
  <si>
    <t>1.04.01</t>
  </si>
  <si>
    <t>Utilities</t>
  </si>
  <si>
    <t>1.04.02</t>
  </si>
  <si>
    <t>Utilities-Other Facilities</t>
  </si>
  <si>
    <t>1.05.01</t>
  </si>
  <si>
    <t>Generators</t>
  </si>
  <si>
    <t>1.05.02</t>
  </si>
  <si>
    <t>Generators-Other Facilities</t>
  </si>
  <si>
    <t>1.06.01</t>
  </si>
  <si>
    <t>Physical Security Personnel - Government</t>
  </si>
  <si>
    <t>1.06.02</t>
  </si>
  <si>
    <t>Physical Security Personnel - Contractor</t>
  </si>
  <si>
    <t>1.06.03</t>
  </si>
  <si>
    <t>Physical Security Equipment</t>
  </si>
  <si>
    <t>1.06.04.01</t>
  </si>
  <si>
    <t>Physical Security Tools Support Personnel - Government</t>
  </si>
  <si>
    <t>1.06.04.02</t>
  </si>
  <si>
    <t>Physical Security Tools Support Personnel - Contractor</t>
  </si>
  <si>
    <t>1.06.04.03</t>
  </si>
  <si>
    <t>Physical Security Tools License</t>
  </si>
  <si>
    <t>1.06.04.04</t>
  </si>
  <si>
    <t>Physical Security Tools Vendor Support</t>
  </si>
  <si>
    <t>1.07.01</t>
  </si>
  <si>
    <t>Network Management Personnel- Government</t>
  </si>
  <si>
    <t>Includes network management and technical support for firewalls, intranet, internet services and access, WAN connections, LAN management, intrusion detection systems, intrusion prevention systems, routers, load balancers (network), switches, DNS, proxy services, traffic monitoring and management, call managers and services
Includes pay and other benefits</t>
  </si>
  <si>
    <t>1.07.02</t>
  </si>
  <si>
    <t>Network Management Personnel - Contractor</t>
  </si>
  <si>
    <t>Includes network management and technical support for firewalls, intranet, internet services and access, WAN connections, LAN management, intrusion detection systems, intrusion prevention systems, routers, load balancers (network), switches, DNS, proxy services, traffic monitoring and management, call managers and services</t>
  </si>
  <si>
    <t>1.07.03</t>
  </si>
  <si>
    <t>Network Engineering Personnel - Government</t>
  </si>
  <si>
    <t>1.07.04</t>
  </si>
  <si>
    <t>Network Engineering Personnel - Contractor</t>
  </si>
  <si>
    <t>1.08.01</t>
  </si>
  <si>
    <t>Internet Access Services</t>
  </si>
  <si>
    <t>Telecom</t>
  </si>
  <si>
    <t>7.1.2</t>
  </si>
  <si>
    <t>1.09.01</t>
  </si>
  <si>
    <t>CAPEX/Networking Hardware</t>
  </si>
  <si>
    <t>7.1.1</t>
  </si>
  <si>
    <t>1.10.01</t>
  </si>
  <si>
    <t>Circuit Connectivity</t>
  </si>
  <si>
    <t>Includes bandwidth, 3rd Party WAN Links, Telco Last Mile Loops</t>
  </si>
  <si>
    <t>1.11.01</t>
  </si>
  <si>
    <t>Virtual/Cloud System Networks</t>
  </si>
  <si>
    <t>Outside Services</t>
  </si>
  <si>
    <t>9.1.2</t>
  </si>
  <si>
    <t>Managed Service Providers</t>
  </si>
  <si>
    <t>1.12.01</t>
  </si>
  <si>
    <t>Network Software Licenses</t>
  </si>
  <si>
    <t>1.12.02</t>
  </si>
  <si>
    <t>Network Software Vendor Support</t>
  </si>
  <si>
    <t>1.13.01</t>
  </si>
  <si>
    <t>Routers</t>
  </si>
  <si>
    <t>1.13.02</t>
  </si>
  <si>
    <t>Switches</t>
  </si>
  <si>
    <t>1.13.03</t>
  </si>
  <si>
    <t>Firewalls</t>
  </si>
  <si>
    <t>1.13.04</t>
  </si>
  <si>
    <t>IDS and IPS</t>
  </si>
  <si>
    <t>1.13.05</t>
  </si>
  <si>
    <t>Proxy Devices</t>
  </si>
  <si>
    <t>1.13.06</t>
  </si>
  <si>
    <t>Load Balancers</t>
  </si>
  <si>
    <t>1.13.07</t>
  </si>
  <si>
    <t>Call Managers</t>
  </si>
  <si>
    <t>1.13.08</t>
  </si>
  <si>
    <t>Network-Wireless Network Devices and Equipment</t>
  </si>
  <si>
    <t>7.1.3</t>
  </si>
  <si>
    <t>1.13.09</t>
  </si>
  <si>
    <t>Network Hardware Vendor Support</t>
  </si>
  <si>
    <t>1.14.01</t>
  </si>
  <si>
    <t>Network Monitoring Tools Support Personnel - Government</t>
  </si>
  <si>
    <t>1.14.02</t>
  </si>
  <si>
    <t>Network Monitoring Tools Support Personnel - Contractor</t>
  </si>
  <si>
    <t>1.14.03</t>
  </si>
  <si>
    <t>Network Monitoring Tools Software Licenses</t>
  </si>
  <si>
    <t>1.14.04</t>
  </si>
  <si>
    <t>Network Monitoring Tools Software Vendor Support</t>
  </si>
  <si>
    <t>1.15.01</t>
  </si>
  <si>
    <t>Telecom Engineering Personnel - Government</t>
  </si>
  <si>
    <t>1.15.02</t>
  </si>
  <si>
    <t>Telecom Engineering Personnel - Contractor</t>
  </si>
  <si>
    <t>1.15.03</t>
  </si>
  <si>
    <t>Telecom Hardware</t>
  </si>
  <si>
    <t>1.15.04</t>
  </si>
  <si>
    <t xml:space="preserve">Telecom End-User Equipment </t>
  </si>
  <si>
    <t>Includes Handsets, A/V and VTC Terminals (CAPEX/OPEX) and equipment</t>
  </si>
  <si>
    <t>1.15.05</t>
  </si>
  <si>
    <t>Telecom Hardware Vendor Support</t>
  </si>
  <si>
    <t>1.15.06</t>
  </si>
  <si>
    <t>Telecom Cabling</t>
  </si>
  <si>
    <t>1.16.01</t>
  </si>
  <si>
    <t>Network (Transport) Management Personnel- Government</t>
  </si>
  <si>
    <t>Includes network management and technical support for data network circuits and associated access facilities and services; includes dedicated and virtual data networks and internet access. Also includes usage associated with mobility and other data transit based on usage billing. Voice network circuits and associated access facilities and services. Also includes usage associated with standard telephone calls and 800 number service.
Both voice and data transport may include terrestrial and non-terrestrial (e.g., satellite) technologies.
Optional Level 3 categories include: Data, Voice.
Includes pay and other benefits</t>
  </si>
  <si>
    <t>1.16.02</t>
  </si>
  <si>
    <t>Network (Transport)  Management Personnel - Contractor</t>
  </si>
  <si>
    <t>1.16.03</t>
  </si>
  <si>
    <t>Network (Transport)  Engineering Personnel - Government</t>
  </si>
  <si>
    <t>1.16.04</t>
  </si>
  <si>
    <t>Network (Transport)  Engineering Personnel - Contractor</t>
  </si>
  <si>
    <t>1.17.01</t>
  </si>
  <si>
    <t>Disaster Recovery (DR)  Site</t>
  </si>
  <si>
    <t>1.17.02</t>
  </si>
  <si>
    <t>Disaster Recovery (DR) Switch Over</t>
  </si>
  <si>
    <t>1.17.03</t>
  </si>
  <si>
    <t>Retrieval/Deployment of Backup Data</t>
  </si>
  <si>
    <t>1.17.04</t>
  </si>
  <si>
    <t>Connectivity to DR Site</t>
  </si>
  <si>
    <t>1.17.05</t>
  </si>
  <si>
    <t>Existing Circuits to Site</t>
  </si>
  <si>
    <t>1.17.06</t>
  </si>
  <si>
    <t>Activity Additional Circuits</t>
  </si>
  <si>
    <t>1.18.01</t>
  </si>
  <si>
    <t>1.18.02</t>
  </si>
  <si>
    <t>1.19.01</t>
  </si>
  <si>
    <t>1.19.02</t>
  </si>
  <si>
    <t>1.20.01</t>
  </si>
  <si>
    <t>1.20.02</t>
  </si>
  <si>
    <t>1.21.01</t>
  </si>
  <si>
    <t>1.21.02</t>
  </si>
  <si>
    <t>2.01.01</t>
  </si>
  <si>
    <t>HW-OS-Storage Management Personnel - Government</t>
  </si>
  <si>
    <t>SL2: HW-OS-Storage Management</t>
  </si>
  <si>
    <t>2.01.02</t>
  </si>
  <si>
    <t>HW-OS-Storage Management Personnel - Contractor</t>
  </si>
  <si>
    <t>2.02.01.01</t>
  </si>
  <si>
    <t>Desktop System Technician Personnel - Government</t>
  </si>
  <si>
    <t>Includes desktop, laptop and tin client computing devices and the associated base operating system, utilities and drivers.
Includes pay and other benefits</t>
  </si>
  <si>
    <t>2.02.01.02</t>
  </si>
  <si>
    <t>Desktop System Technician Personnel - Contractor</t>
  </si>
  <si>
    <t>Includes desktop, laptop and tin client computing devices and the associated base operating system, utilities and drivers</t>
  </si>
  <si>
    <t>2.02.01.03</t>
  </si>
  <si>
    <t>Desktop Compute Systems Hardware</t>
  </si>
  <si>
    <t>5.1.1</t>
  </si>
  <si>
    <t>2.02.01.04</t>
  </si>
  <si>
    <t>Desktop Compute Systems Hardware Vendor Support</t>
  </si>
  <si>
    <t>5.1.3</t>
  </si>
  <si>
    <t>2.02.01.05</t>
  </si>
  <si>
    <t>Desktop System Tools Support Personnel - Government</t>
  </si>
  <si>
    <t>2.02.01.06</t>
  </si>
  <si>
    <t>Desktop System Tools Support Personnel - Contractor</t>
  </si>
  <si>
    <t>2.02.01.07</t>
  </si>
  <si>
    <t>Desktop System Tools Software Licenses</t>
  </si>
  <si>
    <t>2.02.01.08</t>
  </si>
  <si>
    <t>Desktop System Tools Software Vendor Support</t>
  </si>
  <si>
    <t>2.02.02.01</t>
  </si>
  <si>
    <t>Mobile Device Systems Technician Personnel - Government</t>
  </si>
  <si>
    <t>Includes tablet and smart phone computing devices and the associated base operating system, utilities and drivers.
Includes pay and other benefits</t>
  </si>
  <si>
    <t>2.02.02.02</t>
  </si>
  <si>
    <t>Mobile Device Systems Technician Personnel - Contractor</t>
  </si>
  <si>
    <t>Includes tablet and smart phone computing devices and the associated base operating system, utilities and drivers</t>
  </si>
  <si>
    <t>2.02.02.03</t>
  </si>
  <si>
    <t>Mobile Device Systems Hardware</t>
  </si>
  <si>
    <t>2.02.02.04</t>
  </si>
  <si>
    <t>Mobile Device Systems Hardware Vendor Support</t>
  </si>
  <si>
    <t>2.02.02.05</t>
  </si>
  <si>
    <t>Mobile Device Systems Tools Support Personnel - Government</t>
  </si>
  <si>
    <t>2.02.02.06</t>
  </si>
  <si>
    <t>Mobile Device Systems Tools Support Personnel - Contractor</t>
  </si>
  <si>
    <t>2.02.02.07</t>
  </si>
  <si>
    <t>Mobile Device Systems Tools Software Licenses</t>
  </si>
  <si>
    <t>2.02.02.09</t>
  </si>
  <si>
    <t>Mobile Device Systems Tools Software Vendor Support</t>
  </si>
  <si>
    <t>2.03.01.01</t>
  </si>
  <si>
    <t>Server System Technician Personnel - Government</t>
  </si>
  <si>
    <t>2.03.01.02</t>
  </si>
  <si>
    <t>Server System Technician Personnel - Contractor</t>
  </si>
  <si>
    <t>2.03.01.03</t>
  </si>
  <si>
    <t>Server System Hardware</t>
  </si>
  <si>
    <t>Physical and virtual servers running a version of Microsoft's Windows Server or the Linux operating system including hardware, software, and support resources and services. Optional Level 3 categories include: Windows, Linux and Public Cloud Compute.</t>
  </si>
  <si>
    <t>2.03.01.04</t>
  </si>
  <si>
    <t>Server Hardware Vendor Support</t>
  </si>
  <si>
    <t>2.03.01.05</t>
  </si>
  <si>
    <t>Server Operating Systems Support Personnel - Government</t>
  </si>
  <si>
    <t>Physical and virtual servers running a version of Microsoft's Windows Server or the Linux operating system including hardware, software, and support resources and services. Optional Level 3 categories include: Windows, Linux and Public Cloud Compute.
Includes pay and other benefits</t>
  </si>
  <si>
    <t>2.03.01.06</t>
  </si>
  <si>
    <t>Server Operating Systems Support Personnel - Contractor</t>
  </si>
  <si>
    <t>2.03.01.07</t>
  </si>
  <si>
    <t>Server Operating Systems Software Licenses</t>
  </si>
  <si>
    <t>2.03.01.08</t>
  </si>
  <si>
    <t>Server Operating Systems Software Vendor Support</t>
  </si>
  <si>
    <t>2.03.01.09</t>
  </si>
  <si>
    <t>Server Interconnects other than IP Network</t>
  </si>
  <si>
    <t>2.03.01.10</t>
  </si>
  <si>
    <t>Server Tools Support Personnel - Government</t>
  </si>
  <si>
    <t>2.03.01.11</t>
  </si>
  <si>
    <t>Server Tools Support Personnel - Contractor</t>
  </si>
  <si>
    <t>2.03.01.12</t>
  </si>
  <si>
    <t>Server Tools Software Licenses</t>
  </si>
  <si>
    <t>2.03.01.13</t>
  </si>
  <si>
    <t>Server Tools Software Vendor Support</t>
  </si>
  <si>
    <t>2.03.02.01</t>
  </si>
  <si>
    <t>Unix Server System Technician Personnel - Government</t>
  </si>
  <si>
    <t>2.03.02.02</t>
  </si>
  <si>
    <t>Unix Server System Technician Personnel - Contractor</t>
  </si>
  <si>
    <t>2.03.02.03</t>
  </si>
  <si>
    <t>Unix Server System Hardware</t>
  </si>
  <si>
    <t>Servers running vendor-specific, proprietary Unix operating systems (e.g., IBM AIX, Sun Solaris, HP UX);  includes hardware, software, labor and support services.</t>
  </si>
  <si>
    <t>2.03.02.04</t>
  </si>
  <si>
    <t>Unix Server Hardware Vendor Support</t>
  </si>
  <si>
    <t>2.03.02.05</t>
  </si>
  <si>
    <t>Unix Server Operating Systems Support Personnel - Government</t>
  </si>
  <si>
    <t>Servers running vendor-specific, proprietary Unix operating systems (e.g., IBM AIX, Sun Solaris, HP UX);  includes hardware, software, labor and support services.
Includes pay and other benefits</t>
  </si>
  <si>
    <t>2.03.02.06</t>
  </si>
  <si>
    <t>Unix Server Operating Systems Support Personnel - Contractor</t>
  </si>
  <si>
    <t>2.03.02.07</t>
  </si>
  <si>
    <t>Unix Server Operating Systems Software Licenses</t>
  </si>
  <si>
    <t>2.03.02.08</t>
  </si>
  <si>
    <t>Unix Server Operating Systems Software Vendor Support</t>
  </si>
  <si>
    <t>2.03.02.09</t>
  </si>
  <si>
    <t>Unix Server Interconnects other than IP Network</t>
  </si>
  <si>
    <t>2.03.02.10</t>
  </si>
  <si>
    <t>Unix Server Tools Support Personnel - Government</t>
  </si>
  <si>
    <t>2.03.02.11</t>
  </si>
  <si>
    <t>Unix Server Tools Support Personnel - Contractor</t>
  </si>
  <si>
    <t>2.03.02.12</t>
  </si>
  <si>
    <t>Unix Server Tools Software Licenses</t>
  </si>
  <si>
    <t>2.03.02.13</t>
  </si>
  <si>
    <t>Unix Server Tools Software Vendor Support</t>
  </si>
  <si>
    <t xml:space="preserve"> 2.03.03.01</t>
  </si>
  <si>
    <t>Midrange Server System Technician Personnel - Government</t>
  </si>
  <si>
    <t>Includes Servers running IBM AS/400 platform including hardware, software, labor, and support services.
Includes pay and other benefits</t>
  </si>
  <si>
    <t xml:space="preserve"> 2.03.03.02</t>
  </si>
  <si>
    <t>Midrange Server System Technician Personnel - Contractor</t>
  </si>
  <si>
    <t>Includes Servers running IBM AS/400 platform including hardware, software, labor, and support services.</t>
  </si>
  <si>
    <t xml:space="preserve"> 2.03.03.03</t>
  </si>
  <si>
    <t>Midrange Server System Hardware</t>
  </si>
  <si>
    <t xml:space="preserve"> 2.03.03.04</t>
  </si>
  <si>
    <t>Midrange Server Hardware Vendor Support</t>
  </si>
  <si>
    <t xml:space="preserve"> 2.03.03.05</t>
  </si>
  <si>
    <t>Midrange Server Operating Systems Support Personnel - Government</t>
  </si>
  <si>
    <t xml:space="preserve"> 2.03.03.06</t>
  </si>
  <si>
    <t>Midrange Server Operating Systems Support Personnel - Contractor</t>
  </si>
  <si>
    <t xml:space="preserve"> 2.03.03.07</t>
  </si>
  <si>
    <t>Midrange Server Operating Systems Software Licenses</t>
  </si>
  <si>
    <t xml:space="preserve"> 2.03.03.08</t>
  </si>
  <si>
    <t>Midrange Server Operating Systems Software Vendor Support</t>
  </si>
  <si>
    <t xml:space="preserve"> 2.03.03.09</t>
  </si>
  <si>
    <t>Midrange Server Interconnects other than IP Network</t>
  </si>
  <si>
    <t xml:space="preserve"> 2.03.03.10</t>
  </si>
  <si>
    <t>Midrange Server Tools Support Personnel - Government</t>
  </si>
  <si>
    <t xml:space="preserve"> 2.03.03.11</t>
  </si>
  <si>
    <t>Midrange Server Tools Support Personnel - Contractor</t>
  </si>
  <si>
    <t xml:space="preserve"> 2.03.03.12</t>
  </si>
  <si>
    <t>Midrange Server Tools Software Licenses</t>
  </si>
  <si>
    <t>2.03.03.13</t>
  </si>
  <si>
    <t>Midrange Server Tools Software Vendor Support</t>
  </si>
  <si>
    <t>2.03.04.01</t>
  </si>
  <si>
    <t>Engineered Appliance System Technician Personnel - Government</t>
  </si>
  <si>
    <t>Includes Oracle Exadata, Netezza, and Teradata.  Appliance systems are servers designed to provide a specific compute service and is engineered (pre-configured) with necessary software and firmware, and provide compute, storage and network capabilities in one box.   
Includes pay and other benefits</t>
  </si>
  <si>
    <t>2.03.04.02</t>
  </si>
  <si>
    <t>Engineered Appliance System Technician Personnel - Contractor</t>
  </si>
  <si>
    <t xml:space="preserve">Includes Oracle Exadata, Netezza, and Teradata.  Appliance systems are servers designed to provide a specific compute service and is engineered (pre-configured) with necessary software and firmware, and provide compute, storage and network capabilities in one box.   </t>
  </si>
  <si>
    <t>2.03.04.03</t>
  </si>
  <si>
    <t>Engineered Appliance System Hardware</t>
  </si>
  <si>
    <t>2.03.04.04</t>
  </si>
  <si>
    <t>Engineered Appliance Hardware Vendor Support</t>
  </si>
  <si>
    <t>2.03.04.05</t>
  </si>
  <si>
    <t>Engineered Appliance Operating Systems Support Personnel - Government</t>
  </si>
  <si>
    <t>Includes Oracle Exadata, Netezza, and Teradata.  Appliance systems are servers designed to provide a specific compute service and is engineered (pre-configured) with necessary software and firmware, and provide compute, storage and network capabilities in one box.  
Includes pay and other benefits</t>
  </si>
  <si>
    <t>2.03.04.06</t>
  </si>
  <si>
    <t>Engineered Appliance Operating Systems Support Personnel - Contractor</t>
  </si>
  <si>
    <t>Includes Oracle Exadata, Netezza, and Teradata.  Appliance systems are servers designed to provide a specific compute service and is engineered (pre-configured) with necessary software and firmware, and provide compute, storage and network capabilities in one box.  Includes fiber channel</t>
  </si>
  <si>
    <t>2.03.04.07</t>
  </si>
  <si>
    <t>Engineered Appliance Operating Systems Software Licenses</t>
  </si>
  <si>
    <t>2.03.04.08</t>
  </si>
  <si>
    <t>Engineered Appliance Operating Systems Software Vendor Support</t>
  </si>
  <si>
    <t xml:space="preserve">Includes Oracle Exadata, Netezza, and Teradata.  Appliance systems are servers designed to provide a specific compute service and is engineered (pre-configured) with necessary software and firmware, and provide compute, storage and network capabilities in one box.  </t>
  </si>
  <si>
    <t>2.03.04.09</t>
  </si>
  <si>
    <t>Engineered Appliance Interconnects other than IP Network</t>
  </si>
  <si>
    <t>2.03.04.10</t>
  </si>
  <si>
    <t>Engineered Appliance Tools Support Personnel - Government</t>
  </si>
  <si>
    <t>2.03.04.11</t>
  </si>
  <si>
    <t>Engineered Appliance Tools Support Personnel - Contractor</t>
  </si>
  <si>
    <t>Includes Oracle Exadata, Netezza, and Teradata.  Appliance systems are servers designed to provide a specific compute service and is engineered (pre-configured) with necessary software and firmware, and provide compute, storage and network capabilities in one box.</t>
  </si>
  <si>
    <t>2.03.04.12</t>
  </si>
  <si>
    <t>Engineered Appliance Tools Software Licenses</t>
  </si>
  <si>
    <t xml:space="preserve">Includes Oracle Exadata, Netezza, and Teradata.  Appliance systems are servers designed to provide a specific compute service and is engineered (pre-configured) with necessary software and firmware, and provide compute, storage and network capabilities in one box.    </t>
  </si>
  <si>
    <t>2.03.04.13</t>
  </si>
  <si>
    <t>Engineered Appliance Tools Software Vendor Support</t>
  </si>
  <si>
    <t>2.03.05.01</t>
  </si>
  <si>
    <t>Mainframe System Technician Personnel - Government</t>
  </si>
  <si>
    <t xml:space="preserve">Traditional mainframe computers and operations running legacy operating systems.  Mainframes, e.g. IBM zSeries use proprietary operating systems including zOS and proprietary flavors of Unix and Linux.
Includes pay and other benefits
</t>
  </si>
  <si>
    <t>2.03.05.02</t>
  </si>
  <si>
    <t>Mainframe System Technician Personnel - Contractor</t>
  </si>
  <si>
    <t xml:space="preserve">Traditional mainframe computers and operations running legacy operating systems.  Mainframes, e.g. IBM zSeries use proprietary operating systems including zOS and proprietary flavors of Unix and Linux
</t>
  </si>
  <si>
    <t>2.03.05.03</t>
  </si>
  <si>
    <t>Mainframe System Hardware</t>
  </si>
  <si>
    <t>2.03.05.04</t>
  </si>
  <si>
    <t>Mainframe Hardware Vendor Support</t>
  </si>
  <si>
    <t>2.03.05.05</t>
  </si>
  <si>
    <t>Mainframe Operating Systems Support Personnel - Government</t>
  </si>
  <si>
    <t>2.03.05.06</t>
  </si>
  <si>
    <t>Mainframe Operating Systems Support Personnel - Contractor</t>
  </si>
  <si>
    <t>2.03.05.07</t>
  </si>
  <si>
    <t>Mainframe Operating Systems Software Licenses</t>
  </si>
  <si>
    <t>2.03.05.08</t>
  </si>
  <si>
    <t>Mainframe Operating Systems Software Vendor Support</t>
  </si>
  <si>
    <t>2.03.05.09</t>
  </si>
  <si>
    <t>Mainframe Interconnects other than IP Network</t>
  </si>
  <si>
    <t xml:space="preserve">Traditional mainframe computers and operations running legacy operating systems.  Mainframes, e.g. IBM zSeries use proprietary operating systems including zOS and proprietary flavors of Unix and Linux.
Includes fiber channel
</t>
  </si>
  <si>
    <t>2.03.05.10</t>
  </si>
  <si>
    <t>Mainframe Tools Support Personnel - Government</t>
  </si>
  <si>
    <t>2.03.05.011</t>
  </si>
  <si>
    <t>Mainframe Tools Support Personnel - Contractor</t>
  </si>
  <si>
    <t>2.03.05.012</t>
  </si>
  <si>
    <t>Mainframe Tools Software Licenses</t>
  </si>
  <si>
    <t>2.03.05.013</t>
  </si>
  <si>
    <t>Mainframe Tools Software Vendor Support</t>
  </si>
  <si>
    <t>2.03.06.01</t>
  </si>
  <si>
    <t>High Performance Computing System Technician Personnel - Government</t>
  </si>
  <si>
    <t>2.03.06.02</t>
  </si>
  <si>
    <t>High Performance Computing System Technician Personnel - Contractor</t>
  </si>
  <si>
    <t>2.03.06.03</t>
  </si>
  <si>
    <t>High Performance Computing System Hardware</t>
  </si>
  <si>
    <t>2.03.06.04</t>
  </si>
  <si>
    <t>High Performance Computing Hardware Vendor Support</t>
  </si>
  <si>
    <t>2.03.06.05</t>
  </si>
  <si>
    <t>High Performance Computing Operating Systems Support Personnel - Government</t>
  </si>
  <si>
    <t>2.03.06.06</t>
  </si>
  <si>
    <t>High Performance Computing Operating Systems Support Personnel - Contractor</t>
  </si>
  <si>
    <t>2.03.06.07</t>
  </si>
  <si>
    <t>High Performance Computing Operating Systems Software Licenses</t>
  </si>
  <si>
    <t>2.03.06.08</t>
  </si>
  <si>
    <t>High Performance Computing Operating Systems Software Vendor Support</t>
  </si>
  <si>
    <t>2.03.06.09</t>
  </si>
  <si>
    <t>High Performance Computing Interconnects other than IP Network</t>
  </si>
  <si>
    <t>2.03.06.10</t>
  </si>
  <si>
    <t>High Performance Computing Tools Support Personnel - Government</t>
  </si>
  <si>
    <t>2.03.06.11</t>
  </si>
  <si>
    <t>High Performance Computing Tools Support Personnel - Contractor</t>
  </si>
  <si>
    <t>2.03.06.12</t>
  </si>
  <si>
    <t>High Performance Computing Tools Software Licenses</t>
  </si>
  <si>
    <t>2.03.06.13</t>
  </si>
  <si>
    <t>High Performance Computing Tools Software Vendor Support</t>
  </si>
  <si>
    <t>2.04.01.01</t>
  </si>
  <si>
    <t>Online Storage Technician Personnel - Government</t>
  </si>
  <si>
    <t>Includes online system storage and routine environment backup and recovery, and off-site storage.
Includes pay and other benefits</t>
  </si>
  <si>
    <t>2.04.01.02</t>
  </si>
  <si>
    <t>Online Storage Technician Personnel - Contractor</t>
  </si>
  <si>
    <t>Includes online system storage and routine environment backup and recovery, and off-site storage</t>
  </si>
  <si>
    <t>2.04.01.03</t>
  </si>
  <si>
    <t>Online Storage Hardware</t>
  </si>
  <si>
    <t>2.04.01.04</t>
  </si>
  <si>
    <t>Online Storage Hardware Vendor Support</t>
  </si>
  <si>
    <t>2.04.01.05</t>
  </si>
  <si>
    <t>Online Storage Tools Support Personnel - Government</t>
  </si>
  <si>
    <t>Includes backup, recovery and archive solutions, data mirroring, data replication/synchronization where not provided by or in addition to database solution/software
Includes pay and other benefits</t>
  </si>
  <si>
    <t>2.04.01.06</t>
  </si>
  <si>
    <t>Online Storage Tools Support Personnel - Contractor</t>
  </si>
  <si>
    <t>Includes backup, recovery and archive solutions, data mirroring, data replication/synchronization where not provided by or in addition to database solution/software</t>
  </si>
  <si>
    <t>2.04.01.07</t>
  </si>
  <si>
    <t>Online Storage Tools Software Licenses</t>
  </si>
  <si>
    <t>2.04.01.08</t>
  </si>
  <si>
    <t>Online Storage Tools Software Vendor Support</t>
  </si>
  <si>
    <t>2.04.02.01</t>
  </si>
  <si>
    <t>Mainframe Online Storage Technician Personnel - Government</t>
  </si>
  <si>
    <t>2.04.02.02</t>
  </si>
  <si>
    <t>Mainframe Online Storage Technician Personnel - Contractor</t>
  </si>
  <si>
    <t>2.04.02.03</t>
  </si>
  <si>
    <t>Mainframe Online Storage Hardware</t>
  </si>
  <si>
    <t>2.04.02.04</t>
  </si>
  <si>
    <t>Mainframe Online Storage Hardware Vendor Support</t>
  </si>
  <si>
    <t>2.04.02.05</t>
  </si>
  <si>
    <t>Mainframe Online Storage Tools Support Personnel - Government</t>
  </si>
  <si>
    <t>Includes backup, recovery and archive solutions, data mirroring, data replication/synchronization where not provided by or in addition to database solution/software.
Includes pay and other benefits</t>
  </si>
  <si>
    <t>2.04.02.06</t>
  </si>
  <si>
    <t>Mainframe Online Storage Tools Support Personnel - Contractor</t>
  </si>
  <si>
    <t>2.04.02.07</t>
  </si>
  <si>
    <t>Mainframe Online Storage Tools Software Licenses</t>
  </si>
  <si>
    <t>2.04.02.08</t>
  </si>
  <si>
    <t>Mainframe Online Storage Tools Software Vendor Support</t>
  </si>
  <si>
    <t>2.04.03.01</t>
  </si>
  <si>
    <t>Offline Storage Technician Personnel - Government</t>
  </si>
  <si>
    <t>2.04.03.02</t>
  </si>
  <si>
    <t>Offline Storage Technician Personnel - Contractor</t>
  </si>
  <si>
    <t>2.04.03.03</t>
  </si>
  <si>
    <t>Offline Storage Hardware</t>
  </si>
  <si>
    <t>2.04.03.04</t>
  </si>
  <si>
    <t>Offline Storage Hardware Vendor Support</t>
  </si>
  <si>
    <t>2.04.03.05</t>
  </si>
  <si>
    <t>Offline Storage Tools Support Personnel - Government</t>
  </si>
  <si>
    <t>2.04.03.06</t>
  </si>
  <si>
    <t>Offline Storage Tools Support Personnel - Contractor</t>
  </si>
  <si>
    <t>2.04.03.07</t>
  </si>
  <si>
    <t>Offline Storage Tools Software Licenses</t>
  </si>
  <si>
    <t>2.04.03.08</t>
  </si>
  <si>
    <t>Offline  Storage Tools Software Vendor Support</t>
  </si>
  <si>
    <t>2.04.04.01</t>
  </si>
  <si>
    <t>Mainframe Offline Storage Technician Personnel - Government</t>
  </si>
  <si>
    <t>2.04.04.02</t>
  </si>
  <si>
    <t>Mainframe Offline Storage Technician Personnel - Contractor</t>
  </si>
  <si>
    <t>2.04.04.03</t>
  </si>
  <si>
    <t>Mainframe Offline Storage Hardware</t>
  </si>
  <si>
    <t>2.04.04.04</t>
  </si>
  <si>
    <t>Mainframe Offline Storage Hardware Vendor Support</t>
  </si>
  <si>
    <t>2.04.04.05</t>
  </si>
  <si>
    <t>Mainframe Offline Storage Tools Support Personnel - Government</t>
  </si>
  <si>
    <t>2.04.04.06</t>
  </si>
  <si>
    <t>Mainframe Offline Storage Tools Support Personnel - Contractor</t>
  </si>
  <si>
    <t>2.04.04.07</t>
  </si>
  <si>
    <t>Mainframe Offline Storage Tools Software Licenses</t>
  </si>
  <si>
    <t>2.04.04.08</t>
  </si>
  <si>
    <t>Mainframe Offline Tools Software Vendor Support</t>
  </si>
  <si>
    <t>2.04.05.01</t>
  </si>
  <si>
    <t>Storage Data Backup Technician Support Personnel - Government</t>
  </si>
  <si>
    <t>2.04.05.02</t>
  </si>
  <si>
    <t>Storage Data Backup Technician Support Personnel - Contractor</t>
  </si>
  <si>
    <t>2.04.05.03</t>
  </si>
  <si>
    <t>Storage Data Backup Hardware</t>
  </si>
  <si>
    <t>2.04.05.04</t>
  </si>
  <si>
    <t>Storage Data Backup Hardware Vendor Support</t>
  </si>
  <si>
    <t>2.04.05.05</t>
  </si>
  <si>
    <t>Storage Data Backup Tools Support Personnel - Government</t>
  </si>
  <si>
    <t>2.04.05.06</t>
  </si>
  <si>
    <t>Storage Data Backup Tools Support Personnel - Contractor</t>
  </si>
  <si>
    <t>2.04.05.07</t>
  </si>
  <si>
    <t>Storage Data Backup Tools Software Licenses</t>
  </si>
  <si>
    <t>2.04.05.08</t>
  </si>
  <si>
    <t>Storage Data Backup Tools Software Vendor Support</t>
  </si>
  <si>
    <t>2.04.06.01</t>
  </si>
  <si>
    <t>Mainframe Storage Data Backup Technician Support Personnel - Government</t>
  </si>
  <si>
    <t>2.04.06.02</t>
  </si>
  <si>
    <t>Mainframe Storage Data Backup Technician Support Personnel - Contractor</t>
  </si>
  <si>
    <t>2.04.06.03</t>
  </si>
  <si>
    <t>Mainframe Storage Data Backup Hardware</t>
  </si>
  <si>
    <t>2.04.06.04</t>
  </si>
  <si>
    <t>Mainframe Storage Data Backup Hardware Vendor Support</t>
  </si>
  <si>
    <t>2.04.06.05</t>
  </si>
  <si>
    <t>Mainframe Storage Data Backup Tools Support Personnel - Government</t>
  </si>
  <si>
    <t>2.04.06.06</t>
  </si>
  <si>
    <t>Mainframe Storage Data Backup Tools Support Personnel - Contractor</t>
  </si>
  <si>
    <t>2.04.06.07</t>
  </si>
  <si>
    <t>Mainframe Storage Data Backup Tools Software Licenses</t>
  </si>
  <si>
    <t>2.04.06.08</t>
  </si>
  <si>
    <t>Mainframe Storage Data Backup Tools Software Vendor Support</t>
  </si>
  <si>
    <t>2.04.07</t>
  </si>
  <si>
    <t>Storage Data Backup Devices Virtualized Environment</t>
  </si>
  <si>
    <t>2.04.08</t>
  </si>
  <si>
    <t>Storage Data Backup Solution Media</t>
  </si>
  <si>
    <t>2.04.09.01</t>
  </si>
  <si>
    <t>Storage Data Backup Solution Service</t>
  </si>
  <si>
    <t>2.04.09.02</t>
  </si>
  <si>
    <t>Storage Data Backup Solution Service Vendor Support</t>
  </si>
  <si>
    <t>2.05.01</t>
  </si>
  <si>
    <t>Storage Racks and Cages</t>
  </si>
  <si>
    <t>2.05.02</t>
  </si>
  <si>
    <t>Datacenter Cage/Floor Space</t>
  </si>
  <si>
    <t>2.06.01</t>
  </si>
  <si>
    <t>Peripheral Technician Personnel - Government</t>
  </si>
  <si>
    <t>Includes printers, copiers, scanners, projectors, displays and barcode devices and associated software.
Includes pay and other benefits</t>
  </si>
  <si>
    <t>2.06.02</t>
  </si>
  <si>
    <t>Peripheral Technician Personnel - Contractor</t>
  </si>
  <si>
    <t>Includes printers, copiers, scanners, projectors, displays and barcode devices and associated software</t>
  </si>
  <si>
    <t>2.06.03</t>
  </si>
  <si>
    <t>Peripheral Hardware</t>
  </si>
  <si>
    <t>2.06.04</t>
  </si>
  <si>
    <t>Peripheral Hardware Vendor Support</t>
  </si>
  <si>
    <t>2.06.05.01</t>
  </si>
  <si>
    <t>Peripheral Tools Support Personnel - Government</t>
  </si>
  <si>
    <t>2.06.05.02</t>
  </si>
  <si>
    <t>Peripheral Tools Support Personnel - Contractor</t>
  </si>
  <si>
    <t>2.06.05.03</t>
  </si>
  <si>
    <t>Peripheral Tools Software Licenses</t>
  </si>
  <si>
    <t>2.06.05.04</t>
  </si>
  <si>
    <t>Peripheral Tools Software Vendor Support</t>
  </si>
  <si>
    <t>2.07.01</t>
  </si>
  <si>
    <t>Printer Technician Personnel - Government</t>
  </si>
  <si>
    <t>2.07.02</t>
  </si>
  <si>
    <t>Printer Technician Personnel - Contractor</t>
  </si>
  <si>
    <t xml:space="preserve">Includes printers, copiers, scanners, projectors, displays and barcode devices and associated software.
</t>
  </si>
  <si>
    <t>2.07.03</t>
  </si>
  <si>
    <t>Printer Hardware</t>
  </si>
  <si>
    <t>2.07.04</t>
  </si>
  <si>
    <t>Printer Hardware Vendor Support</t>
  </si>
  <si>
    <t>2.07.05.01</t>
  </si>
  <si>
    <t>Printer Tools Support Personnel - Government</t>
  </si>
  <si>
    <t>2.07.05.02</t>
  </si>
  <si>
    <t>Printer Tools Support Personnel - Contractor</t>
  </si>
  <si>
    <t>2.07.05.03</t>
  </si>
  <si>
    <t>Printer Tools Software Licenses</t>
  </si>
  <si>
    <t>2.07.05.04</t>
  </si>
  <si>
    <t>Printer Tools Software Vendor Support</t>
  </si>
  <si>
    <t>2.08.01</t>
  </si>
  <si>
    <t>Central Print Services/Large Scale Print Production Technician Personnel - Government</t>
  </si>
  <si>
    <t>Includes Central Print printer and print production hardware, graphics equipment and binding, and associated software. etc.
Includes pay and other benefits</t>
  </si>
  <si>
    <t>2.08.02</t>
  </si>
  <si>
    <t>Central Print Services/Large Scale Print Production Technician Personnel - Contractor</t>
  </si>
  <si>
    <t xml:space="preserve">Includes Central Print printer and print production hardware, graphics equipment and binding, and associated software. etc.
</t>
  </si>
  <si>
    <t>2.08.03</t>
  </si>
  <si>
    <t>Central Print Services/Large Scale Print Production Hardware</t>
  </si>
  <si>
    <t>2.08.04</t>
  </si>
  <si>
    <t>Central Print Services/Large Scale Print Production Hardware Vendor Support</t>
  </si>
  <si>
    <t>2.08.05.01</t>
  </si>
  <si>
    <t>Central Print Services/Large Scale Print Production Tools Support Personnel - Government</t>
  </si>
  <si>
    <t>Includes software and software tools used for Central Printing of digital and print production of documents, graphics, and binding.
Includes pay and other benefits</t>
  </si>
  <si>
    <t>2.08.05.02</t>
  </si>
  <si>
    <t>Central Print Services/Large Scale Print Production Tools Support Personnel - Contractor</t>
  </si>
  <si>
    <t xml:space="preserve">Includes software and software tools used for Central Printing of digital and print production of documents, graphics, and binding.
</t>
  </si>
  <si>
    <t>2.08.05.03</t>
  </si>
  <si>
    <t>Central Print Services/Large Scale Print Production Tools Software Licenses</t>
  </si>
  <si>
    <t>2.08.05.04</t>
  </si>
  <si>
    <t>Central Print Services/Large Scale Print Production Tools Software Vendor Support</t>
  </si>
  <si>
    <t>2.08.06</t>
  </si>
  <si>
    <t>Central Print Services/Large Scale Print Production Supplies</t>
  </si>
  <si>
    <t>Includes Central Print, Print Production, graphics, binding, etc.</t>
  </si>
  <si>
    <t>2.09.01</t>
  </si>
  <si>
    <t>Virtual Environment Engineering Personnel - Government</t>
  </si>
  <si>
    <t>Includes virtualization of SP-owned and managed servers, storage and networks to include SP-managed clouds.
Includes pay and other benefits</t>
  </si>
  <si>
    <t>2.09.02</t>
  </si>
  <si>
    <t>Virtual Environment Engineering Personnel - Contractor</t>
  </si>
  <si>
    <t>Includes virtualization of SP-owned and managed servers, storage and networks to include SP-managed clouds.</t>
  </si>
  <si>
    <t>2.09.03</t>
  </si>
  <si>
    <t>Virtual Environment Software Licenses</t>
  </si>
  <si>
    <t>2.09.04</t>
  </si>
  <si>
    <t>Virtual Environment Software Vendor Support</t>
  </si>
  <si>
    <t>2.09.05.01</t>
  </si>
  <si>
    <t>Virtual Environment Monitoring Tools Support Personnel - Government</t>
  </si>
  <si>
    <t>2.09.05.02</t>
  </si>
  <si>
    <t>Virtual Environment Monitoring Tools Support Personnel - Contractor</t>
  </si>
  <si>
    <t>2.09.05.03</t>
  </si>
  <si>
    <t>Virtual Environment Monitoring Tools Software Licenses</t>
  </si>
  <si>
    <t>2.09.05.04</t>
  </si>
  <si>
    <t>Virtual Environment Monitoring Tools Software Vendor Support</t>
  </si>
  <si>
    <t>2.10.01</t>
  </si>
  <si>
    <t xml:space="preserve">Infrastructure-as-a-Service (IaaS) </t>
  </si>
  <si>
    <t>Includes vendor-managed services for networking, storage, servers and virtualization.</t>
  </si>
  <si>
    <t>9.1.3</t>
  </si>
  <si>
    <t>2.11.01</t>
  </si>
  <si>
    <t>Infrastructure Operations Management and Monitoring – Government Personnel</t>
  </si>
  <si>
    <t>Operations Management</t>
  </si>
  <si>
    <t>2.11.02</t>
  </si>
  <si>
    <t>Infrastructure Operations Management and Monitoring – Contractor Personnel</t>
  </si>
  <si>
    <t>2.11.03.01</t>
  </si>
  <si>
    <t>Infrastructure Operations Management and Monitoring Tools Support Personnel - Government</t>
  </si>
  <si>
    <t>2.11.03.02</t>
  </si>
  <si>
    <t>Infrastructure Operations Management and Monitoring Tools Support Personnel - Contractor</t>
  </si>
  <si>
    <t>2.11.03.03</t>
  </si>
  <si>
    <t>Infrastructure Operations Management and Monitoring Tools Software Licenses</t>
  </si>
  <si>
    <t>2.11.03.04</t>
  </si>
  <si>
    <t>Infrastructure Operations Management and Monitoring Tools Software Vendor Support</t>
  </si>
  <si>
    <t>2.12.01</t>
  </si>
  <si>
    <t>Includes ITIL Continual Service Improvement
Includes pay and other benefits</t>
  </si>
  <si>
    <t>2.12.02</t>
  </si>
  <si>
    <t>Includes ITIL Continual Service Improvement</t>
  </si>
  <si>
    <t>2.13.01</t>
  </si>
  <si>
    <t>2.13.02</t>
  </si>
  <si>
    <t>2.14.01</t>
  </si>
  <si>
    <t>2.14.02</t>
  </si>
  <si>
    <t>2.15.01</t>
  </si>
  <si>
    <t>2.15.02</t>
  </si>
  <si>
    <t>3.01.01</t>
  </si>
  <si>
    <t>Application Software Licenses</t>
  </si>
  <si>
    <t>Technical Management: Software Development and Management</t>
  </si>
  <si>
    <t>3.01.02</t>
  </si>
  <si>
    <t>Application Software Vendor Support</t>
  </si>
  <si>
    <t>3.02.01</t>
  </si>
  <si>
    <t>Application Software License Management Personnel - Government</t>
  </si>
  <si>
    <t>3.02.02</t>
  </si>
  <si>
    <t>Application Software License Management Personnel - Contractor</t>
  </si>
  <si>
    <t>3.02.03.01</t>
  </si>
  <si>
    <t>Application Software License Management Tools Support Personnel - Government</t>
  </si>
  <si>
    <t>3.02.02.02</t>
  </si>
  <si>
    <t>Application Software License Management Tools Support Personnel - Contractor</t>
  </si>
  <si>
    <t>3.02.02.03</t>
  </si>
  <si>
    <t>Application Software License Management Tools Software License</t>
  </si>
  <si>
    <t>3.02.02.04</t>
  </si>
  <si>
    <t>Application Software License Management Tools Software Vendor Support</t>
  </si>
  <si>
    <t>3.03.01</t>
  </si>
  <si>
    <t>Application Software Performance Engineering and Optimization - Government Personnel</t>
  </si>
  <si>
    <t>3.03.02</t>
  </si>
  <si>
    <t>Application Software Performance Engineering and Optimization - Contractor Personnel</t>
  </si>
  <si>
    <t>3.03.03.01</t>
  </si>
  <si>
    <t>Application Software Performance Engineering and Optimization Tools Support Personnel - Government</t>
  </si>
  <si>
    <t>3.03.03.02</t>
  </si>
  <si>
    <t>Application Software Performance Engineering and Optimization Tools Support Personnel - Contractor</t>
  </si>
  <si>
    <t>3.03.03.03</t>
  </si>
  <si>
    <t>Application Software Performance Engineering and Optimization Tools Software Licenses</t>
  </si>
  <si>
    <t>3.03.03.04</t>
  </si>
  <si>
    <t>Application Software Performance Engineering and Optimization Tools Software Vendor Support</t>
  </si>
  <si>
    <t>3.04.01</t>
  </si>
  <si>
    <t>Core Application Software Maintenance Personnel - Government</t>
  </si>
  <si>
    <t>3.04.02</t>
  </si>
  <si>
    <t>Core Application Software Maintenance Personnel - Contractor</t>
  </si>
  <si>
    <t>3.05.01</t>
  </si>
  <si>
    <t>Application Software Extensions Personnel - Government</t>
  </si>
  <si>
    <t>3.05.02</t>
  </si>
  <si>
    <t>Application Software Extensions Personnel - Contractor</t>
  </si>
  <si>
    <t>3.06.01</t>
  </si>
  <si>
    <t>Application Software Improvement Initiative Personnel - Government</t>
  </si>
  <si>
    <t>3.06.02</t>
  </si>
  <si>
    <t>Application Software Improvement Initiative Personnel - Contractor</t>
  </si>
  <si>
    <t>3.07.01</t>
  </si>
  <si>
    <t>Application Software Testing and QA  Personnel - Government</t>
  </si>
  <si>
    <t>Service Management: Service Validation and Testing</t>
  </si>
  <si>
    <t>3.07.02</t>
  </si>
  <si>
    <t>Application Software Testing and QA  Personnel - Contractor</t>
  </si>
  <si>
    <t>3.07.03.01</t>
  </si>
  <si>
    <t>Application Software Testing and QA Tools Support Personnel - Government</t>
  </si>
  <si>
    <t>Includes tools for performance and quality testing of applications and application extensions inclusive of error and exception handling
Includes pay and other benefits</t>
  </si>
  <si>
    <t>3.07.03.02</t>
  </si>
  <si>
    <t>Application Software Testing and QA Tools Support Personnel - Contractor</t>
  </si>
  <si>
    <t>Includes tools for performance and quality testing of applications and application extensions inclusive of error and exception handling</t>
  </si>
  <si>
    <t>3.07.03.03</t>
  </si>
  <si>
    <t>Application Software Testing and QA Tools Software Licenses</t>
  </si>
  <si>
    <t>3.07.03.04</t>
  </si>
  <si>
    <t>Application Software Testing and QA Tools Software Vendor Support</t>
  </si>
  <si>
    <t>3.08.01</t>
  </si>
  <si>
    <t>Application Software Documentation  Personnel - Government</t>
  </si>
  <si>
    <t>3.08.02</t>
  </si>
  <si>
    <t>Application Software Documentation Personnel - Contractor</t>
  </si>
  <si>
    <t>3.08.03.01</t>
  </si>
  <si>
    <t>Application Software Documentation Tools Support Personnel - Government</t>
  </si>
  <si>
    <t>3.08.03.02</t>
  </si>
  <si>
    <t>Application Software Documentation Tools Support Personnel - Contractor</t>
  </si>
  <si>
    <t>3.08.03.03</t>
  </si>
  <si>
    <t>Application Software Documentation Tools Software Licenses</t>
  </si>
  <si>
    <t>3.08.03.04</t>
  </si>
  <si>
    <t>Application Software Documentation Tools Software Vendor Support</t>
  </si>
  <si>
    <t>3.09.01.01</t>
  </si>
  <si>
    <t xml:space="preserve">Middleware and Enterprise Tools Support Personnel - Government </t>
  </si>
  <si>
    <t>Includes technologies that provide services to software applications such as workflow, application integration, data integration and sharing, extract/transform/load, web services, application scalability, messaging, content management, collaboration
Includes pay and other benefits</t>
  </si>
  <si>
    <t>3.09.01.02</t>
  </si>
  <si>
    <t xml:space="preserve">Middleware and Enterprise Tools Support Personnel - Contractor </t>
  </si>
  <si>
    <t>Includes technologies that provide services to software applications such as workflow, application integration, data integration and sharing, extract/transform/load, web services, application scalability, messaging, content management, collaboration</t>
  </si>
  <si>
    <t>3.09.01.03</t>
  </si>
  <si>
    <t>Middleware and Enterprise Tools Software Licenses</t>
  </si>
  <si>
    <t>3.09.01.04</t>
  </si>
  <si>
    <t>Middleware and Enterprise Tools Software Vendor Support</t>
  </si>
  <si>
    <t>3.09.02.01</t>
  </si>
  <si>
    <t xml:space="preserve">Mainframe Middleware and Enterprise Tools Support Personnel - Government </t>
  </si>
  <si>
    <t>3.09.02,92</t>
  </si>
  <si>
    <t xml:space="preserve">Mainframe Middleware and Enterprise Tools Support Personnel - Contractor </t>
  </si>
  <si>
    <t>3.09.02.03</t>
  </si>
  <si>
    <t>Mainframe Middleware and Enterprise Tools Software Licenses</t>
  </si>
  <si>
    <t>3.09.02.04</t>
  </si>
  <si>
    <t>Mainframe Middleware and Enterprise Tools Software Vendor Support</t>
  </si>
  <si>
    <t>3.10.01</t>
  </si>
  <si>
    <t>Development, Test, and Staging Environment Management Support Personnel - Government</t>
  </si>
  <si>
    <t>Provide coordination with and integration between SL0, SL1, SL2,SL3, SL4 and SL5 services for development, test, and staging environments.
Includes pay and other benefits</t>
  </si>
  <si>
    <t>3.10.02</t>
  </si>
  <si>
    <t>Development, Test, and Staging Environment Management Support Personnel - Contractor</t>
  </si>
  <si>
    <t>Provide coordination with and integration between SL0, SL1, SL2,SL3, SL4 and SL5 services for development, test, and staging environments</t>
  </si>
  <si>
    <t>3.10.03.01</t>
  </si>
  <si>
    <t xml:space="preserve">Development, Test, and Staging Tools Support Engineer Personnel - Government </t>
  </si>
  <si>
    <t>3.10.03.02</t>
  </si>
  <si>
    <t xml:space="preserve">Development, Test, and Staging Tools Support Engineer Personnel - Contractor </t>
  </si>
  <si>
    <t>3.10.03.03</t>
  </si>
  <si>
    <t>Development, Test, and Staging Tools Software License</t>
  </si>
  <si>
    <t>3.10.03.04</t>
  </si>
  <si>
    <t>Development, Test, and Staging Tools Software Vendor Support</t>
  </si>
  <si>
    <t>3.11.01</t>
  </si>
  <si>
    <t>Production Environment Management Support Personnel - Government</t>
  </si>
  <si>
    <t>Provide coordination with and integration between SL0, SL1, SL2,SL3, SL4 and SL5 services for Production environments.
Includes pay and other benefits</t>
  </si>
  <si>
    <t>3.11.02</t>
  </si>
  <si>
    <t>Production Environment Management Support Personnel - Contractor</t>
  </si>
  <si>
    <t>Provide coordination with and integration between SL0, SL1, SL2,SL3, SL4 and SL5 services for Production environments</t>
  </si>
  <si>
    <t>3.11.03.01</t>
  </si>
  <si>
    <t xml:space="preserve">Production Tools Support Engineer Personnel - Government </t>
  </si>
  <si>
    <t>3.11.03.02</t>
  </si>
  <si>
    <t xml:space="preserve">Production Tools Support Engineer Personnel - Contractor </t>
  </si>
  <si>
    <t>3.11.03.03</t>
  </si>
  <si>
    <t>Production Tools Software License</t>
  </si>
  <si>
    <t>3.11.03.04</t>
  </si>
  <si>
    <t>Production Tools Software Vendor Support</t>
  </si>
  <si>
    <t>3.12.01</t>
  </si>
  <si>
    <t xml:space="preserve">Platform-as-a-Service (PaaS) </t>
  </si>
  <si>
    <t>Includes vendor-managed services for networking, storage, servers, virtualization, operating system, middleware, development software and database.</t>
  </si>
  <si>
    <t>3.13.01</t>
  </si>
  <si>
    <t>Webcasting – Government Personnel</t>
  </si>
  <si>
    <t>3.13.02</t>
  </si>
  <si>
    <t>Webcasting – Contractor Personnel</t>
  </si>
  <si>
    <t>3.13.03.01</t>
  </si>
  <si>
    <t>Webcasting Tools Support Personnel - Government</t>
  </si>
  <si>
    <t>3.13.03.02</t>
  </si>
  <si>
    <t>Webcasting Tools Support Personnel - Contractor</t>
  </si>
  <si>
    <t>3.13.03.03</t>
  </si>
  <si>
    <t>Webcasting Tools Software Licenses</t>
  </si>
  <si>
    <t>3.13.03.04</t>
  </si>
  <si>
    <t>Webcasting Tools Software Vendor Support</t>
  </si>
  <si>
    <t>3.13.03.05</t>
  </si>
  <si>
    <t>Webcasting Tools and Services Hardware</t>
  </si>
  <si>
    <t>3.13.03.06</t>
  </si>
  <si>
    <t>Webcasting Tools and Services Hardware Vendor Support</t>
  </si>
  <si>
    <t>3.13.03.07</t>
  </si>
  <si>
    <t>Webcasting Services Licensing</t>
  </si>
  <si>
    <t>Includes Adobe Connect, Cisco WebEx</t>
  </si>
  <si>
    <t>3.14.01</t>
  </si>
  <si>
    <t>3.14.02</t>
  </si>
  <si>
    <t>3.15.01</t>
  </si>
  <si>
    <t>3.15.02</t>
  </si>
  <si>
    <t>3.16.01</t>
  </si>
  <si>
    <t>3.16.02</t>
  </si>
  <si>
    <t>3.17.01</t>
  </si>
  <si>
    <t>3.17.02</t>
  </si>
  <si>
    <t>4.01.01</t>
  </si>
  <si>
    <t>Data Engineering Management Personnel - Government</t>
  </si>
  <si>
    <t>4.01.02</t>
  </si>
  <si>
    <t>Data Engineering Management Personnel - Contractor</t>
  </si>
  <si>
    <t>4.02.01</t>
  </si>
  <si>
    <t>Reference and Master Data Management Personnel - Government</t>
  </si>
  <si>
    <t>4.02.02</t>
  </si>
  <si>
    <t>Reference and Master Data Management Personnel - Contractor</t>
  </si>
  <si>
    <t>4.02.03.01</t>
  </si>
  <si>
    <t>Reference and Master Data Management Tools Support Personnel - Government</t>
  </si>
  <si>
    <t>4.02.03.02</t>
  </si>
  <si>
    <t>Reference and Master Data Management Tools Support Personnel - Contractor</t>
  </si>
  <si>
    <t>4.02.03.03</t>
  </si>
  <si>
    <t>Reference and Master Data Management Tools Software Licenses</t>
  </si>
  <si>
    <t>4.02.03.04</t>
  </si>
  <si>
    <t>Reference and Master Data Management Tools Software Vendor Support</t>
  </si>
  <si>
    <t>4.02.04</t>
  </si>
  <si>
    <t>Reference Data Subscription Services</t>
  </si>
  <si>
    <t>4.03.01</t>
  </si>
  <si>
    <t>Data/Information Pre-Processing Support Personnel - Government</t>
  </si>
  <si>
    <t>Includes manual and semi-automated data quality checking, enhancement, integration, tagging, and other information readiness services 
Includes pay and other benefits</t>
  </si>
  <si>
    <t>4.03.02</t>
  </si>
  <si>
    <t>Data/Information Pre-Processing Support Personnel - Contractor</t>
  </si>
  <si>
    <t xml:space="preserve">Includes manual and semi-automated data quality checking, enhancement, integration, tagging, and other information readiness services </t>
  </si>
  <si>
    <t>4.03.03.01</t>
  </si>
  <si>
    <t>Data/Information Pre-Processing Tools Support Personnel - Government</t>
  </si>
  <si>
    <t>4.03.03.02</t>
  </si>
  <si>
    <t>Data/Information Pre-Processing Tools Support Personnel - Contractor</t>
  </si>
  <si>
    <t>4.03.03.03</t>
  </si>
  <si>
    <t>Data/Information Pre-Processing Tools Software Licenses</t>
  </si>
  <si>
    <t>4.03.03.04</t>
  </si>
  <si>
    <t>Data/Information Pre-Processing Tools Software Vendor Support</t>
  </si>
  <si>
    <t>4.03.03</t>
  </si>
  <si>
    <t>Information Service Subscription Services</t>
  </si>
  <si>
    <t>Includes information services, e.g. Lexus-Nexus, Google Earth</t>
  </si>
  <si>
    <t>4.04.01</t>
  </si>
  <si>
    <t>Data Architect Personnel - Government</t>
  </si>
  <si>
    <t>4.04.02</t>
  </si>
  <si>
    <t>Data Architect Personnel - Contractor</t>
  </si>
  <si>
    <t>4.04.03</t>
  </si>
  <si>
    <t>Database Architect Personnel - Government</t>
  </si>
  <si>
    <t>4.04.04</t>
  </si>
  <si>
    <t>Database Architect Personnel - Contractor</t>
  </si>
  <si>
    <t>4.05.01</t>
  </si>
  <si>
    <t>Data Structure Engineering Personnel - Government</t>
  </si>
  <si>
    <t>4.05.02</t>
  </si>
  <si>
    <t>Data Structure Engineering Personnel - Contractor</t>
  </si>
  <si>
    <t>4.06.01</t>
  </si>
  <si>
    <t>Data Architecture, Schema, and Design Tools Support Personnel - Government</t>
  </si>
  <si>
    <t>4.06.02</t>
  </si>
  <si>
    <t>Data Architecture, Schema, and Design Tools Support Personnel - Contractor</t>
  </si>
  <si>
    <t>4.06.03</t>
  </si>
  <si>
    <t>Data Architecture, Schema, and Design Tools Software Licenses</t>
  </si>
  <si>
    <t>4.06.04</t>
  </si>
  <si>
    <t>Data Architecture, Schema, and Design Tool Software Vendor Support</t>
  </si>
  <si>
    <t>4.07.01</t>
  </si>
  <si>
    <t>File Management Personnel - Government</t>
  </si>
  <si>
    <t>4.07.02</t>
  </si>
  <si>
    <t>File Management Personnel - Contractor</t>
  </si>
  <si>
    <t>4.07.03.01</t>
  </si>
  <si>
    <t>File Management Tools Support Personnel - Government</t>
  </si>
  <si>
    <t>4.07.03.02</t>
  </si>
  <si>
    <t>File Management Tools Support Personnel - Contractor</t>
  </si>
  <si>
    <t>4.07.03.03</t>
  </si>
  <si>
    <t>File Management Tools Software Licenses</t>
  </si>
  <si>
    <t>4.07.03.04</t>
  </si>
  <si>
    <t>File Management Tools Software Vendor Support</t>
  </si>
  <si>
    <t>4.08.01.01</t>
  </si>
  <si>
    <t>Database System Administration Personnel - Government</t>
  </si>
  <si>
    <t>4.08.01.02</t>
  </si>
  <si>
    <t>Database System Administration Personnel - Contractor</t>
  </si>
  <si>
    <t>4.08.02.01</t>
  </si>
  <si>
    <t>Database (Converged Infrastructure) System Administration Personnel - Government</t>
  </si>
  <si>
    <t>4.08.02.02</t>
  </si>
  <si>
    <t>Database (Converged Infrastructure) System Administration Personnel - Contractor</t>
  </si>
  <si>
    <t>4.08.03.01</t>
  </si>
  <si>
    <t>Database (Mainframe) System Administration Personnel - Government</t>
  </si>
  <si>
    <t>4.08.03.02</t>
  </si>
  <si>
    <t>Database (Mainframe) System Administration Personnel - Contractor</t>
  </si>
  <si>
    <t>4.09.01.01.01</t>
  </si>
  <si>
    <t>Database System Licenses</t>
  </si>
  <si>
    <t>Includes database (relational and non-relational, SQL and NoSQL), access control, caching, balancing, scaling, database backup, recovery and synchronization, in-memory database</t>
  </si>
  <si>
    <t>4.09.01.01.02</t>
  </si>
  <si>
    <t>Physical On-site Database  System Licenses</t>
  </si>
  <si>
    <t>4.09.01.01.03</t>
  </si>
  <si>
    <t>Virtual Database System Licenses</t>
  </si>
  <si>
    <t>Includes virtualization of SP-owned and managed database systems.</t>
  </si>
  <si>
    <t>4.09.01.01.04</t>
  </si>
  <si>
    <t>Database System Vendor Support</t>
  </si>
  <si>
    <t>4.09.01.01.05</t>
  </si>
  <si>
    <t>Database System Licenses - Mainframe</t>
  </si>
  <si>
    <t>Includes mainframe database (relational and non-relational, SQL and NoSQL), caching, balancing, scaling, database backup, recovery and synchronization, in-memory database</t>
  </si>
  <si>
    <t>4.09.01.01.06</t>
  </si>
  <si>
    <t>Physical On-site Database  System Licenses - Mainframe</t>
  </si>
  <si>
    <t>4.09.01.01.07</t>
  </si>
  <si>
    <t>Virtual Database System Licenses - Mainframe</t>
  </si>
  <si>
    <t>4.09.01.01.08</t>
  </si>
  <si>
    <t>Database System Vendor Support - Mainframe</t>
  </si>
  <si>
    <t>4.09.01.02.01</t>
  </si>
  <si>
    <t>Database System Hardware</t>
  </si>
  <si>
    <t>4.09.01.02.02</t>
  </si>
  <si>
    <t>Database System Hardware Vendor Support</t>
  </si>
  <si>
    <t>4.10.01.01</t>
  </si>
  <si>
    <t>Data Synchronization Engineering Personnel - Government</t>
  </si>
  <si>
    <t>4.10.01.02</t>
  </si>
  <si>
    <t>Data Synchronization Engineering Personnel - Contractor</t>
  </si>
  <si>
    <t>4.10.01.03.01</t>
  </si>
  <si>
    <t>Data Synchronization Tools Support Personnel - Government</t>
  </si>
  <si>
    <t>4.10.01.03.02</t>
  </si>
  <si>
    <t>Data Synchronization Tools Support Personnel - Contractor</t>
  </si>
  <si>
    <t>4.10.01.03.03</t>
  </si>
  <si>
    <t>Data Synchronization Tools Software Licenses</t>
  </si>
  <si>
    <t>4.10.03.03.04</t>
  </si>
  <si>
    <t>Data Synchronization Tools Software Vendor Support</t>
  </si>
  <si>
    <t>4.11.01</t>
  </si>
  <si>
    <t>4.11.02</t>
  </si>
  <si>
    <t>4.12.01</t>
  </si>
  <si>
    <t>4.12.02</t>
  </si>
  <si>
    <t>4.13.01</t>
  </si>
  <si>
    <t>4.13.02</t>
  </si>
  <si>
    <t>4.14.01</t>
  </si>
  <si>
    <t>4.14.02</t>
  </si>
  <si>
    <t>5.01.01</t>
  </si>
  <si>
    <t>Application Operations and Monitoring Management Personnel - Government</t>
  </si>
  <si>
    <t>Includes job orchestration and management, scheduling, review, failure reconciliation, normal application and job performance, user activity, application log reviews, and interface (input/output) monitoring.
Includes pay and other benefits</t>
  </si>
  <si>
    <t>5.01.02</t>
  </si>
  <si>
    <t>Application Operations and Monitoring Management Personnel - Contractor</t>
  </si>
  <si>
    <t>Includes job orchestration and management, scheduling, review, failure reconciliation, normal application and job performance, user activity, application log reviews, and interface (input/output) monitoring</t>
  </si>
  <si>
    <t>5.01.03</t>
  </si>
  <si>
    <t>Application Operation and Monitoring Support Personnel - Government</t>
  </si>
  <si>
    <t>5.01.04</t>
  </si>
  <si>
    <t>Application Operation and Monitoring Support Personnel - Contractor</t>
  </si>
  <si>
    <t>5.01.04.01</t>
  </si>
  <si>
    <t>Application Operation and Monitoring Tools Support Personnel - Government</t>
  </si>
  <si>
    <t>5.01.04.02</t>
  </si>
  <si>
    <t>Application Operation and Monitoring Tools Support Personnel - Contractor</t>
  </si>
  <si>
    <t>5.01.04.03</t>
  </si>
  <si>
    <t>Application Operation and Monitoring Tools Software Licenses</t>
  </si>
  <si>
    <t>5.01.04.04</t>
  </si>
  <si>
    <t>Application Operation and Monitoring Tools Software Vendor Support</t>
  </si>
  <si>
    <t>5.02.01</t>
  </si>
  <si>
    <t xml:space="preserve">Software-as-a-Service (SaaS) </t>
  </si>
  <si>
    <t>Includes vendor-managed services for networking, storage, servers, virtualization, operating system, middleware, development, database and applications.</t>
  </si>
  <si>
    <t>5.03.01</t>
  </si>
  <si>
    <t>Service Desk Management Personnel - Government</t>
  </si>
  <si>
    <t>Includes overall management of  Service Desk (Tiers 1-3), Request Fulfillment, Event Management, Incident Management ,and Problem Management
Includes pay and other benefits</t>
  </si>
  <si>
    <t>Service Management: Service Desk;
Service Management: Incident Management;
Service Management: Problem Management;
Service Management: Service Request Management</t>
  </si>
  <si>
    <t>5.03.02</t>
  </si>
  <si>
    <t>Service Desk Management Personnel - Contractor</t>
  </si>
  <si>
    <t>Includes overall management of  Service Desk (Tiers 1-3), Request Fulfillment, Event Management, Incident Management ,and Problem Management</t>
  </si>
  <si>
    <t>5.03.03.01</t>
  </si>
  <si>
    <t>Service Desk Tier 1 Management Personnel - Government</t>
  </si>
  <si>
    <t>5.03.03.02</t>
  </si>
  <si>
    <t>Service Desk Tier 1 Management Personnel - Contractor</t>
  </si>
  <si>
    <t>5.03.03.03</t>
  </si>
  <si>
    <t>Service Desk Tier 1 Technician Personnel - Government</t>
  </si>
  <si>
    <t>5.03.03.04</t>
  </si>
  <si>
    <t>Service Desk Tier 1 Technician Personnel - Contractor</t>
  </si>
  <si>
    <t>5.03.04.01</t>
  </si>
  <si>
    <t>Service Desk Tier 2 Management Personnel - Government</t>
  </si>
  <si>
    <t>5.03.04.02</t>
  </si>
  <si>
    <t>Service Desk Tier 2 Management Personnel - Contractor</t>
  </si>
  <si>
    <t>5.03.04.03</t>
  </si>
  <si>
    <t>Service Desk Tier 2 Technician Personnel - Government</t>
  </si>
  <si>
    <t>5.03.04.04</t>
  </si>
  <si>
    <t>Service Desk Tier 2 Technician Personnel - Contractor</t>
  </si>
  <si>
    <t>5.03.05.01</t>
  </si>
  <si>
    <t>Service Desk Tier 3 Management Personnel - Government</t>
  </si>
  <si>
    <t>5.03.05.02</t>
  </si>
  <si>
    <t>Service Desk Tier 3 Management Personnel - Contractor</t>
  </si>
  <si>
    <t>5.03.05.03</t>
  </si>
  <si>
    <t>Service Desk Tier 3 Technician Personnel - Government</t>
  </si>
  <si>
    <t>Service Desk Tier 3 Technician Personnel - Contractor</t>
  </si>
  <si>
    <t>5.03.06.01</t>
  </si>
  <si>
    <t>Service Desk Tools Support Personnel - Government</t>
  </si>
  <si>
    <t>5.03.06.02</t>
  </si>
  <si>
    <t>Service Desk Tools Support Personnel - Contractor</t>
  </si>
  <si>
    <t>5.03.06.03</t>
  </si>
  <si>
    <t>Service Desk Tools Software Licenses</t>
  </si>
  <si>
    <t>5.03.06.04</t>
  </si>
  <si>
    <t>Service Desk Tools Software Vendor Support</t>
  </si>
  <si>
    <t>5.04.01</t>
  </si>
  <si>
    <t>Application Training Personnel - Government</t>
  </si>
  <si>
    <t>5.04.02</t>
  </si>
  <si>
    <t>Application Training Personnel - Contractor</t>
  </si>
  <si>
    <t>5.04.03</t>
  </si>
  <si>
    <t>Application Training Development Personnel - Government</t>
  </si>
  <si>
    <t>5.04.04</t>
  </si>
  <si>
    <t>Application Training Development Personnel - Contractor</t>
  </si>
  <si>
    <t>5.04.05.01</t>
  </si>
  <si>
    <t>Application Training Tools Support Personnel - Government</t>
  </si>
  <si>
    <t>5.04.05.02</t>
  </si>
  <si>
    <t>Application Training Tools Support Personnel - Contractor</t>
  </si>
  <si>
    <t>5.04.05.04</t>
  </si>
  <si>
    <t>Application Training Tools Software Licenses</t>
  </si>
  <si>
    <t>Application Training Tools Software Vendor Support</t>
  </si>
  <si>
    <t>5.05.01</t>
  </si>
  <si>
    <t>5.05.02</t>
  </si>
  <si>
    <t>5.06.01</t>
  </si>
  <si>
    <t>5.06.02</t>
  </si>
  <si>
    <t>5.07.01</t>
  </si>
  <si>
    <t>5.07.02</t>
  </si>
  <si>
    <t>5.08.01</t>
  </si>
  <si>
    <t>5.08.02</t>
  </si>
  <si>
    <t>6.01.01</t>
  </si>
  <si>
    <t>Transaction Processing Management Personnel - Government</t>
  </si>
  <si>
    <t>Business Program, Product &amp; Project Mgmt</t>
  </si>
  <si>
    <t>6.01.02</t>
  </si>
  <si>
    <t>Transaction Processing Management Personnel - Contractor</t>
  </si>
  <si>
    <t>6.01.03</t>
  </si>
  <si>
    <t>Transaction Processing Personnel - Government</t>
  </si>
  <si>
    <t>Transaction/ Information Processing</t>
  </si>
  <si>
    <t>6.01.04</t>
  </si>
  <si>
    <t>Transaction Processing Personnel - Contractor</t>
  </si>
  <si>
    <t>6.01.05.01</t>
  </si>
  <si>
    <t>Transaction Processing Tools Support Personnel - Government</t>
  </si>
  <si>
    <t>6.01.05.02</t>
  </si>
  <si>
    <t>Transaction Processing Tools Support Personnel - Contractor</t>
  </si>
  <si>
    <t>6.01.05.03</t>
  </si>
  <si>
    <t>Transaction Processing Tools Software Licenses</t>
  </si>
  <si>
    <t>6.01.05.04</t>
  </si>
  <si>
    <t>Transaction Processing Tools Software Vendor Support</t>
  </si>
  <si>
    <t>6.02.01</t>
  </si>
  <si>
    <t>Electronic and Hardcopy Document Processing Management Personnel – Government</t>
  </si>
  <si>
    <t>Includes manual and semi-automated document scanning, filtering, categorizing, tagging, and other document readiness services; Includes eDiscovery.
Includes pay and other benefits</t>
  </si>
  <si>
    <t>6.02.02</t>
  </si>
  <si>
    <t>Electronic and Hardcopy Document Processing Management Personnel – Contractor</t>
  </si>
  <si>
    <t>Includes manual and semi-automated document scanning, filtering, categorizing, tagging, and other document readiness services; Includes eDiscovery</t>
  </si>
  <si>
    <t>6.02.03</t>
  </si>
  <si>
    <t>Electronic and Hardcopy Document Processing  Personnel - Government</t>
  </si>
  <si>
    <t>6.02.04</t>
  </si>
  <si>
    <t>Electronic and Hardcopy Document Processing  Personnel - Contractor</t>
  </si>
  <si>
    <t>6.02.05.01</t>
  </si>
  <si>
    <t>Electronic and Hardcopy Document Processing  Tools Support Personnel - Government</t>
  </si>
  <si>
    <t>Includes manual and semi-automated document scanning, filtering, categorizing, tagging, and other document readiness services; Includes eDiscovery
Includes pay and other benefits</t>
  </si>
  <si>
    <t>6.02.05.02</t>
  </si>
  <si>
    <t>Electronic and Hardcopy Document Processing  Tools Support Personnel - Contractor</t>
  </si>
  <si>
    <t>6.02.05.03</t>
  </si>
  <si>
    <t>Electronic and Hardcopy Document Processing  Tools Software Licenses</t>
  </si>
  <si>
    <t>6.02.05.04</t>
  </si>
  <si>
    <t>Electronic and Hardcopy Document Processing  Tools Software Vendor Support</t>
  </si>
  <si>
    <t>6.02.05.05</t>
  </si>
  <si>
    <t>Electronic and Hardcopy Document Processing  Tools Hardware</t>
  </si>
  <si>
    <t>6.02.05.06</t>
  </si>
  <si>
    <t>Electronic and Hardcopy Document Processing  Tools Hardware Vendor Support</t>
  </si>
  <si>
    <t>6.02.06</t>
  </si>
  <si>
    <t>Electronic and Hardcopy Document Archiving Services</t>
  </si>
  <si>
    <t>6.03.01</t>
  </si>
  <si>
    <t>Central Print Services/Print Production Personnel - Government</t>
  </si>
  <si>
    <t>Includes Central Print/ Digital and Print Production, graphics, binding, etc.
Includes pay and other benefits</t>
  </si>
  <si>
    <t>6.03.02</t>
  </si>
  <si>
    <t>Central Print Services/Print Production Personnel - Contractor</t>
  </si>
  <si>
    <t>Includes Central Print/ Digital and Print Production, graphics, binding, etc.</t>
  </si>
  <si>
    <t>6.04.01</t>
  </si>
  <si>
    <t>Quality Review Personnel - Government</t>
  </si>
  <si>
    <t>6.04.02</t>
  </si>
  <si>
    <t>Quality Review Personnel - Contractor</t>
  </si>
  <si>
    <t>6.05.01</t>
  </si>
  <si>
    <t>Specialized Functional SME Personnel - Government</t>
  </si>
  <si>
    <t>6.05.02</t>
  </si>
  <si>
    <t>Specialized Functional SME Personnel - Contractor</t>
  </si>
  <si>
    <t>6.06.01</t>
  </si>
  <si>
    <t>Document P.O. Box/Lock Box</t>
  </si>
  <si>
    <t>Business Office Furniture and Supplies</t>
  </si>
  <si>
    <t>6.07.01</t>
  </si>
  <si>
    <t>Postal Mailroom</t>
  </si>
  <si>
    <t>6.08.01</t>
  </si>
  <si>
    <t>Transaction/Document Processing Supplies</t>
  </si>
  <si>
    <t>6.09.01</t>
  </si>
  <si>
    <t>6.09.02</t>
  </si>
  <si>
    <t>6.10.01</t>
  </si>
  <si>
    <t>6.10.02</t>
  </si>
  <si>
    <t>6.11.01</t>
  </si>
  <si>
    <t>6.11.02</t>
  </si>
  <si>
    <t>6.12.01</t>
  </si>
  <si>
    <t>6.12.02</t>
  </si>
  <si>
    <t>7.01.01</t>
  </si>
  <si>
    <t>Business Functional and Analytics Support Management Personnel - Government</t>
  </si>
  <si>
    <t>7.01.02</t>
  </si>
  <si>
    <t>Business Functional and Analytics Support Management Personnel - Contractor</t>
  </si>
  <si>
    <t>7.02.01</t>
  </si>
  <si>
    <t>Business Regulation, Policy, and Process SME Personnel - Government</t>
  </si>
  <si>
    <t>7.02.02</t>
  </si>
  <si>
    <t>Business Regulation, Policy, and Process SME Personnel - Contractor</t>
  </si>
  <si>
    <t>7.02.03.01</t>
  </si>
  <si>
    <t>Business Regulation, Policy, and Process Tools Support Personnel - Government</t>
  </si>
  <si>
    <t>7.02.03.02</t>
  </si>
  <si>
    <t>Business Regulation, Policy, and Process Tools Support Personnel - Contractor</t>
  </si>
  <si>
    <t>7.02.03.03</t>
  </si>
  <si>
    <t>Business Regulation, Policy, and Process Tools Software Licenses</t>
  </si>
  <si>
    <t>7.02.03.04</t>
  </si>
  <si>
    <t>Business Regulation, Policy, and Process Tools Software Vendor Support</t>
  </si>
  <si>
    <t>7.03.01</t>
  </si>
  <si>
    <t>Reporting and Analysis Personnel - Government</t>
  </si>
  <si>
    <t>7.03.02</t>
  </si>
  <si>
    <t>Reporting and Analysis Personnel - Contractor</t>
  </si>
  <si>
    <t>7.03.03.01</t>
  </si>
  <si>
    <t>Reporting and Analysis Tools Support Personnel - Government</t>
  </si>
  <si>
    <t>7.03.03.02</t>
  </si>
  <si>
    <t>Reporting and Analysis Tools Support Personnel - Contractor</t>
  </si>
  <si>
    <t>7.03.03.03</t>
  </si>
  <si>
    <t>Reporting and Analysis Tools Software Licenses</t>
  </si>
  <si>
    <t>7.03.03.04</t>
  </si>
  <si>
    <t>Reporting and Analysis Tools Software Vendor Support</t>
  </si>
  <si>
    <t>7.04.01</t>
  </si>
  <si>
    <t>Internal Control/Compliance SMEs Personnel - Government</t>
  </si>
  <si>
    <t>7.04.02</t>
  </si>
  <si>
    <t>Internal Control/Compliance SMEs Personnel - Contractor</t>
  </si>
  <si>
    <t>7.04.03</t>
  </si>
  <si>
    <t>Internal Control/Compliance Auditors Personnel - Government</t>
  </si>
  <si>
    <t>7.03.04</t>
  </si>
  <si>
    <t>Internal Control/Compliance Auditors Personnel - Contractor</t>
  </si>
  <si>
    <t>7.04.05.01</t>
  </si>
  <si>
    <t>Internal Control/Compliance/Audit Tools Support Personnel - Government</t>
  </si>
  <si>
    <t>7.04.05.02</t>
  </si>
  <si>
    <t>Internal Control/Compliance/Audit Tools Support Personnel - Contractor</t>
  </si>
  <si>
    <t>7.04.05.03</t>
  </si>
  <si>
    <t>Internal Control/Compliance/Audit Tools Software Licenses</t>
  </si>
  <si>
    <t>7.04.05.04</t>
  </si>
  <si>
    <t>Internal Control/Compliance/Audit Tools Software Vendor Support</t>
  </si>
  <si>
    <t>7.05.01</t>
  </si>
  <si>
    <t>Business Function Training Development Personnel - Government</t>
  </si>
  <si>
    <t>7.05.02</t>
  </si>
  <si>
    <t>Business Function Training Development Personnel - Contractor</t>
  </si>
  <si>
    <t>7.05.03.01</t>
  </si>
  <si>
    <t>Business Function Training Tools Support Personnel - Government</t>
  </si>
  <si>
    <t>7.05.03.02</t>
  </si>
  <si>
    <t>Business Function Training Tools Support Personnel - Contractor</t>
  </si>
  <si>
    <t>7.05.03.03</t>
  </si>
  <si>
    <t>Business Function Training Tools Software Licenses</t>
  </si>
  <si>
    <t>7.05.03.04</t>
  </si>
  <si>
    <t>Business Function Training Tools Software Vendor Support</t>
  </si>
  <si>
    <t>7.06.01</t>
  </si>
  <si>
    <t>7.06.02</t>
  </si>
  <si>
    <t>7.07.01</t>
  </si>
  <si>
    <t>7.07.02</t>
  </si>
  <si>
    <t>7.08.01</t>
  </si>
  <si>
    <t>7.08.02</t>
  </si>
  <si>
    <t>7.09.01</t>
  </si>
  <si>
    <t>7.09.02</t>
  </si>
  <si>
    <t>Source: TBM Taxonomy (https://higherlogicdownload.s3.amazonaws.com/TBMCOUNCIL/c15d372f-9951-46c8-9c3f-213c696401b6/UploadedImages/TBM_Taxonomy_V4_0.pdf)</t>
  </si>
  <si>
    <t>Cost Pool / Sub-Cost Pool Description</t>
  </si>
  <si>
    <t>Internal Labor includes the full range of personnel costs and activities required for delivering or supporting the IT services – including direct operational activities, support and management and administration activities.</t>
  </si>
  <si>
    <t xml:space="preserve">Employee wages, benefits, expenses &amp; occupancy. </t>
  </si>
  <si>
    <t>Capital</t>
  </si>
  <si>
    <t>Capitalized labor (internal employees)</t>
  </si>
  <si>
    <t>External Labor includes the costs of external personnel required for delivering or supporting the IT services – including direct operational activities, support, management and administration activities.</t>
  </si>
  <si>
    <t>External contractor fees, travel, and expenses.</t>
  </si>
  <si>
    <t>Capitalized labor (external contractors)</t>
  </si>
  <si>
    <t>Facilities &amp; Power costs include the floor space as well as the power, cooling, and other utilities costs, environmental control (fire suppression), power distribution, rack infrastructure, outside services and personnel costs related to managing the data center environment.</t>
  </si>
  <si>
    <t>Data center space, power, security and other operating expenses (e.g., co-location facility services, electricity, water, etc.).</t>
  </si>
  <si>
    <t>Data center lease expenditures.</t>
  </si>
  <si>
    <t>Maintenance and Support</t>
  </si>
  <si>
    <t>Data center maintenance &amp; support expenditures.</t>
  </si>
  <si>
    <t>Depreciation and Amortization</t>
  </si>
  <si>
    <t>Data center depreciation of facility build and leasehold improvements (e.g., raised floor investments, power/PDU infrastructure, and rack build-out).</t>
  </si>
  <si>
    <t>Capitalized leasehold improvements</t>
  </si>
  <si>
    <t>Hardware includes all physical technology assets excluding property, office space or raised floor facilities. The range of assets varies by IT Resource Tower; examples include servers, PCs, storage arrays, network appliances, printers and so on. Where a device contains embedded software (firmware), for example in a network firewall, the cost should be reported as hardware even if the software can be upgraded for a separate fee.</t>
  </si>
  <si>
    <t>Hardware expense of non-capitalized purchases (e.g., spare parts, consumables or equipment below capitalization threshold).</t>
  </si>
  <si>
    <t>5.1.2</t>
  </si>
  <si>
    <t>Hardware lease expenditures (e.g., hardware purchased through a supplier or financial services leasing arrangement).</t>
  </si>
  <si>
    <t>Hardware maintenance and support expenditures.</t>
  </si>
  <si>
    <t>5.1.4</t>
  </si>
  <si>
    <t>Hardware depreciation of capitalized purchases.</t>
  </si>
  <si>
    <t>5.1.5</t>
  </si>
  <si>
    <t>Capitalized hardware expenditures</t>
  </si>
  <si>
    <t>Software includes the licensing, maintenance and support costs for all software including operating system, middleware, databases, system management and administration tools, desktop applications and utilities and business applications. Software costs include enterprise or per instance licenses, client-access licenses, maintenance/update costs, customization fees.</t>
  </si>
  <si>
    <t xml:space="preserve">Software expense of non-capitalized software purchases.
</t>
  </si>
  <si>
    <t>Software license expenditures for the use of non-SaaS
provided software. SaaS subscriptions belong under Outside
Services &gt; Cloud Service Providers.</t>
  </si>
  <si>
    <t xml:space="preserve">Software maintenance and support expenditures.
</t>
  </si>
  <si>
    <t>6.1.4</t>
  </si>
  <si>
    <t>Software depreciation of capitalized software license purchases &amp; software development efforts.</t>
  </si>
  <si>
    <t>6.1.5</t>
  </si>
  <si>
    <t>Capitalized software expenditures</t>
  </si>
  <si>
    <t>Includes all telecommunications charges, including leased line, domestic and 
international voice (including mobile), MPLS, ISP and other charges. Telecom 
costs include the circuits and any associated usage fees for providing voice 
and/or data telecommunication services between data centers, office 
locations, the internet and any customer, supplier, or partner. This is typically 
transmission across the wide area network (WAN).</t>
  </si>
  <si>
    <t>Voice and data network connectivity expenses including circuit and usage expenditures.</t>
  </si>
  <si>
    <t>Telecom lease expenditures.</t>
  </si>
  <si>
    <t>Telecom maintenance &amp; support expenditures.</t>
  </si>
  <si>
    <t>7.1.4</t>
  </si>
  <si>
    <t>Depreciation/amortization of any capitalized telecom expenditures; typically, this will show up under Hardware or Facilities depreciation/amortization.</t>
  </si>
  <si>
    <t>7.1.5</t>
  </si>
  <si>
    <t>Capitalized telecom expenditures</t>
  </si>
  <si>
    <t>Miscellaneous or non-standard expenses.</t>
  </si>
  <si>
    <t>Outside Services include IT services purchased from external service providers including consulting services, managed services and public cloud services. Specific examples of outside services include managed network services, cloud storage for end user backup, and externally provided email services.</t>
  </si>
  <si>
    <t>9.1.1</t>
  </si>
  <si>
    <t>Consulting</t>
  </si>
  <si>
    <t>External consulting project-based services.</t>
  </si>
  <si>
    <t>External managed service providers.</t>
  </si>
  <si>
    <t>Cloud Service Providers</t>
  </si>
  <si>
    <t>External public cloud service providers including IaaS, PaaS, and SaaS.</t>
  </si>
  <si>
    <t>9.1.4</t>
  </si>
  <si>
    <t>Capitalized services</t>
  </si>
  <si>
    <t>Internal Services</t>
  </si>
  <si>
    <t>10.1.1</t>
  </si>
  <si>
    <t>Shared Service</t>
  </si>
  <si>
    <t>Miscellaneous charges received from other internal shared services groups (e.g., HR service fees from the HR department). Real estate management fees for space and power should be included in the Facilities and Power cost pool.</t>
  </si>
  <si>
    <t xml:space="preserve">Source: Information Technology Infrastructure Library (ITIL) - IT Service Management (ITSM) (https://www.axelos.com/best-practice-solutions/itil). ITIL is a registered trademark of AXELOS Limited. </t>
  </si>
  <si>
    <t>ITIL®4 Management Practices [Top 34 Practices to Follow] (knowledgehut.com)</t>
  </si>
  <si>
    <t>Practice Area/Practice</t>
  </si>
  <si>
    <t>Purpose/Description</t>
  </si>
  <si>
    <t>General Management Practice Area (14)</t>
  </si>
  <si>
    <t>The 14 General Management Practices are considered commonly across all services and are applicable for the organization as a whole. These provide the views which are to be practiced throughout, irrespective of the type of services or products the organization provides.</t>
  </si>
  <si>
    <t>Architecture Management</t>
  </si>
  <si>
    <t>To provide an understanding and view of all the different elements of an organization as a whole and how each of those elements interfaces or interrelate, to enable the organization to achieve its objectives, continuously. It refers to the applicable principles, tools, standards which enable an organization to be managed in a structured way and also enable agility.  
While we mention architecture management, it refers to all the domains. That is business architecture, service architecture, information architecture, technology architecture, and environment architecture. These can be defined as an integrated architecture in less complex environment of an organization.
The business architecture is defined for creating value to an organization and its customers, aligning to strategy of an organization.
The service architecture is defined for each service provided by an organization and it has to be fit in and align to the business architecture. It defines service models, structure, activities, flow of resources, their interactions, templates required etc.
The information architecture considers the logical &amp; physical data assets of an organization and depicts how the information; which is a valuable asset of an organization; is managed and measured to create value. It is also important to consider the importance of accuracy, completeness, and accessibility of information while defining the Information architecture.
Environmental architecture considers the external factors that impact the organization which includes organizational, political, legal, regulatory, ecological, social, technological etc., These cannot be defined, but have to be considered, while defining, developing and managing the organization, services, products etc.</t>
  </si>
  <si>
    <t>Continual Improvement</t>
  </si>
  <si>
    <t>To ensure continuous alignment of service and practice of an organization, by identifying and improving them on a continual basis. This requires Purpose consideration of changing business needs, consumer behavior, changing market scenarios etc. The improvement opportunity has to be looked at by considering all the components of services, products, processes and service as a whole.
The improvement of services is a continual affair, this cannot be ignored. It is essential to keep the demand for the services high and there should be an established continual improvement practice across the organization. It should be an induced ability in the organization, so that every service action (activities, processes, products, people) is always subject to improvement.
As part of continual improvement practices, an organization should ensure that there is a dedicated effort on continual basis to improve services through continuous measurement. Teams have to dedicate a certain amount of time for focusing on improvements. It is to be understood, “At any given point in time, there are opportunities for improvement” and keep identifying the improvement opportunities. 
Description:B5
• Continual improvement is not a single team or individual’s job; it should be the way of providing services and responsibility of everyone.
• Continual improvement practice shall consider various techniques to identify, assess, analyze, recommend and implement the improvements at various levels.
• The techniques like SWOT (analyzing strength, weakness, Opportunities &amp; Threats), proactive problem management, PDCA, Improvement Kata, Lean methods, concepts of DevOps etc. Are the few techniques, which can be used for continual improvement.
• If the thought of continual improvement is induced into the staff members of the organization as a whole, by establishing that as the culture, the contribution towards continual improvement and alignment will become the way of doing the services and conducting the business.</t>
  </si>
  <si>
    <t>Information Security Management</t>
  </si>
  <si>
    <t>To ensure the protection of the information of an organization throughout the information lifecycle. In a way ensuring the confidentiality, integrity,Purpose and availability of information, so that the organization’s information is safeguarded from unauthorized access and misuse.  The information security management has become the de-facto requirement of modern organizations (irrespective of their business), with the advancement of technology &amp; adoption of IT systems more and more. These technology platforms and IT systems are used for processing data &amp; information, in every transaction of the business.
Whether it’s a bank, an organization of civil construction business, entertainment houses like movie theatre, television, or a retail store, Irrespective of the type of business the organization is into, the adaption &amp; adoption of technology platforms and IT systems for conducting their business transaction has become common. With this modern outlook, organizations come across new challenges and to protect the interest of the business Information security framework, policies, procedures have been established. These information security management practices consider &amp; maintain the balance between Prevention, Detection and Correction.
Information security management practices should consider all the aspects of an organization and its dynamics so that it remains aligned with organization strategy &amp; protects the interest of the organization. These should apply across the organization and should not be just limited to one or few aspects.
In order to support information security enablement in the organization, there should be consideration for establishment of information security framework, policies, processes, risk management, identity and access management, event management, structured (controlled) review &amp; reporting.</t>
  </si>
  <si>
    <t>Knowledge Management</t>
  </si>
  <si>
    <t>To ensure the maintenance and improvement of information and knowledge effectively and efficiently for the convenient usage of the information and knowledge throughout the organization.  Knowledge and information being the most important and valuable assets of an organization, it is very important to identify, capture, process, maintain and improve these aspects.
An organization should consider adapting and adopting a structured approach and ensure defining, building, using (&amp; reusing) and sharing. This involves data processed into information, leading to the creation of knowledge. These are required for all the processes, practices, and services of various forms.
Further with the advancement of technology &amp; management practices, and organizations embracing more and more solutions that are technology-driven &amp; use complex systems, the knowledge of management practices have become a critical need. It is important to understand that knowledge is not just information. Knowledge is the application of the information in a specific context. This requires the understanding of the scenario of information processing and application of knowledge.
For example:  For a service desk, a number of incidents logged during the specific period is information (like during the week 1 the number of incidents logged are 100). Using this information, setting the context to reduce the number of incidents and applying the actions for identifying the possibility of reducing the number of incidents and further applying to reduce the incidents is possible only through knowledge.
Note: Information provides the message, whereas knowledge is Know-how.</t>
  </si>
  <si>
    <t>Measurement and Reporting</t>
  </si>
  <si>
    <t>To measure and report the performance of the business or services, which would help in making decisions and improving the services &amp; business performance. Further, this will also reduce the level of uncertainty.  According to Peter Drucker, an American Management consultant, “If you cannot measure it, you cannot improve it”. This saying, emphasizes on the importance of measurement.
Measurement is an essential need for all types of organizations irrespective of their size and complexities. The measurement should be represented or conveyed in a specific way which is readable (to make right interpretation) by the intended personnel. The metrics considered to measure differs at various levels. This is because, the context at each level varies and accordingly the metrics has to be considered to make the right representation and interpretation.
For example: While measuring a service as a whole, one would look at the availability of the services as one of the metrics. Whereas, a number of incidents occurred, the time taken to resolve &amp; restore the services will become metrics to measure the operational performance. These metrics measured at operational level have to complement the next levels. In the given example, the reduction in the number of incidents or reduction in time to restore services or both should be complemented by improving the availability of the services.
Accordingly, the critical success factors and key performance indicator has to be identified and defined at all levels. Each of the metrics defined should have the right description to interpret. If the target metrics for measuring availability is 95%, then its impact on business has to be described, explained and justified. Only then the metrics of 95% makes sense.</t>
  </si>
  <si>
    <t>Organizational Change Management</t>
  </si>
  <si>
    <t>To ensure managing the human aspects of an organization while introducing, managing, modifying a service or a product. This needs an effective change management (for required transformation) of organization to achieve the lasting benefits through smooth and successful implementation of changes.  While the business environment is subjected to change and evolution, it is very important to understand these dynamics and ensure the organization will also evolve &amp; align with the change. In addition to that, improving the services, service performance, performance of service assets, etc., are also important.
This further emphasizes on transforming people in the organization in terms of behavior and culture for success. People are at the core of organizational change management. So, Organizational change management should ensure establishing, clear and relevant objectives, strong and committed leadership, willing and prepared participation and sustained improvement.
Moreover, organizational transformation is not an overnight accomplishment, it is a journey. For an effective organizational change management, there are many models that the organization adopts. One such model which is adopted and organizations are successful in accomplishing the intended objective of transforming an organization is 8 steps model of John P Kotter.
While initiating the organizational transformation, identification of the audience who are affected by this transformation, the individuals who can become the champions for the successful transformation, creation of vision and communication of the same effectively, creating quick wins and celebrating quick wins, and continuing to produce more wins has to be ensured by an organization.</t>
  </si>
  <si>
    <t>Portfolio Management</t>
  </si>
  <si>
    <t>To ensure that the organization has the right mix of programs, projects, products, and services to execute the organization’s strategy within its funding and resource constraints.
Portfolio management focuses on defining, analyzing, approving and and  services  introduced,  monitored, managed  and retired by an organization. These decisions are taken after, a thorough analysis of services or products, which are being considered for introduction, modification, improvement  etc., if they  make sense for the organization strategically, in investment perspective and value.  Else the service or products will be retired.
The portfolio management can be defined as the coordinated collection of strategic decisions that together enable the most effective balance of organizational change and business as usual. Portfolio  management achieves this through:
• Developing and applying a systematic framework
• Clearly defining products and services and linking them to the achievement of agreed outcomes.
• Evaluating and prioritizing incoming product, service, or project proposals and other change initiatives.
• Implementing a  strategic investment  appraisal and decision-making process
• Analysing and tracking investments based on the value of products,services, programmes, and projects to the organization and its customers.
• Monitoring the performance of the overall portfolio and proposing adjustments in response to any changes in organizational priorities.
• Reviewing the portfolios in terms of progress, outcomes, costs, risk, benefits, and strategic contribution.
The different portfolio involved are producing/service portfolio, project portfolio, and customer portfolio</t>
  </si>
  <si>
    <t>Project Management</t>
  </si>
  <si>
    <t>To ensure success of all the projects in the organization through adaption and adoption of formal project management approach and also ensure keeping the motivation of the people high.  Projects are formally defined as a temporary organization formed to produce results &amp; accomplish the outcomes which are unique and create value. This requires the involvement of initiating, planning, delegating, executing, monitoring and controlling all the aspects of the project.
The success of a project is determined by the accomplishment of the ultimate objective of the project which is defined while triggering the project. Further a project has to ensure;
• Maintaining the current operations of the business effectively and efficiently
• Transforming/Changing the business operations to ensure sustained growth and ability to compete in the market place
• Improving the products and services, continually
• Basically, the project approaches are predictive (or waterfall) and adaptive (or agile). The organization can adapt &amp; adopt the specific approach as per the need of the organization or project and its dynamics. What so ever the approach is, it is required to ensure the consideration for project constraints carefully. That is scope, schedule, cost, quality, resources, and risk. 
Stakeholder engagement and communication also plays a very important role during the project management, this requires continual identification, analyzing and defining the stakeholder engagement strategy and communication management approaches.</t>
  </si>
  <si>
    <t>Relationship Management</t>
  </si>
  <si>
    <t>To ensure engaging and establishing the relationship with all the stakeholders at all levels, right from strategic to tactical levels.  This includes the customer, supplier, partner, and functions within the organization.
A stakeholder is any entity or individual existing internally and externally, who is impacted or impact and influenced or influence at all levels, because of the action organization takes while doing business, services, or projects.
The relationship with the stakeholders has to be established &amp; maintained, for successful management. This includes identifying, analyzing, monitoring and improving relationships throughout. Relationship management is required in all types of business organizations, for achieving success.
The relationship management practice has to ensure that all the stakeholder needs, drivers &amp; triggers are well understood. The satisfaction Description and involvement of stakeholders are very crucial and there should be a constructive relationship established between them. This should lead to achieving the desired outcomes of the business effectively and efficiently.
An organization should always focus on creating high stakeholder value.
That is, 
• by facilitating value creation for service consumers,
• prioritizing the products and services as per the needs of the stakeholders,
• mediating the conflicting stakeholder requirements,
• effective handling of any stakeholder complaints and escalations.</t>
  </si>
  <si>
    <t>Risk Management</t>
  </si>
  <si>
    <t>To ensure the efficient and effective handling of risks of an organization throughout the service value chain and the entire lifecycle of the services/products and business.
The term, “risk” refers to the uncertainty of outcomes which are both positive and negative. The positive risks are called opportunities and negative risks are called as threats.
The interesting part is that generally the negative risks are mostly considered by organizations ignoring the existence of positive risks. Missing or ignoring to consider the positive risks as risks may result in bigger risks as organizations may fail to take advantage of the positive effects of opportunities.
The organization should give high importance for managing risks, so that it can ensure the ongoing sustainability and continuously create value to customers. It should be an integral part of every action (or activities) that the organization performs at all levels. Risk is a part of business, it should be consistent across all levels of an organization, and a culture has to be built in an organization supporting risk management.
For effective risk management, the organization should adapt and adopt a practice, supporting the achievement of objectives of organization. Risks are to be identified, assessed and treated throughout the service value system. Risk is central to service value system defined in ITIL®4.
For every risk identified, there involves a cause that has to be found through risk assessment and appropriate risk action has to be defined. The assignment of risk owner and risk actionee, ensures the demonstration of accountability towards effective risk management.</t>
  </si>
  <si>
    <t>Service Financial Management</t>
  </si>
  <si>
    <t>To ensure that all the financial investments and resources are effectively used and support the strategy and plans of an organization.
The service financial management mainly focuses on Budgeting, Accounting and Charging for the service of products which are newly conceptualized, designed, transitioned, delivered and supported throughout the service value system. All the investments made on services should be justified.
Budgeting refers to the approved financial resources for the service &amp; products &amp; their management throughout their lifecycles. The approximation of the financial resources and analysis will be done before allocating and approving the budget.
Accounting refers to the activity which focuses on monitoring, managing and controlling the financial resources like comparing the actual transaction with budgeted. It would involve accounting of systems, ledgers, journals, chart of accounts etc.
Charging refers to the charges claimed from the consumer for the services and products which would involve invoicing. This can be an optional practice, as the services always are not provided to external customers only.
Further financial management should be managed effectively and efficiently and financial objectives have to be accomplished. Modern technology environment has impacted the practice by broadening the perspective &amp; applicability.
A modern organization uses the latest technologies like cloud, big data, analytics, and artificial intelligence (AI), block chain technologies etc. All these technologies have made the practice more advanced. Consideration of these technologies and practices has become crucial and advantageous for organizations.</t>
  </si>
  <si>
    <t>Strategy Management</t>
  </si>
  <si>
    <t>To ensure the establishment of the strategy and directions for organizations and define goals and objectives, the course of actions to accomplish those goals.
For an effective strategy management, one has to define &amp; understand the contexts of the organization and define the strategies which are essential to achieve the objectives and goals of the organization, by creating value to the consumer of products and services.
The strategy should also establish the criteria and mechanisms that would support the organization for prioritizing the resources, capabilities and do the necessary investments to produce the required outcomes. The strategy management practice would focus on achieving &amp; managing these.
The strategy management has to consider and analyze the organization and its environment, the constraints, understanding of the vision &amp; principles established in organization which set the direction. Further, understanding the perspectives and directions and setting up the strategy, so that, it can be translated to tactical and operational plans.
In modern fast-changing dynamics of the business environment, the strategies defined traditionally may not make any significant contributions. It requires thorough research, careful deliberation which would help in bringing the fluency and alignment to the required dynamics. This is so that the organization can respond to the changed scenario quickly at all times and remain aligned to the objectives always.
The value, should be the prime focus and the strategy should enable this on continual basis. The consideration for continual innovation and improvement to the service value, should be both for service provider and consumer of the services through innovative products and services. A high performing service strategy is the need of modern business environments to ensure uniqueness and to continuously outperform the alternatives.</t>
  </si>
  <si>
    <t>Supplier Management</t>
  </si>
  <si>
    <t>To ensure the management of supplier and their performance to support the seamless provisioning of quality products and services
Supplier management practice being one of the key service management practices focuses on supplier lifecycle management which includes identification, evaluation, establishing a contract or agreement, reviewing the performance of the supplier, the products &amp; services provided by supplier, periodically and finally renewing or terminating the contract of the supplier. This involves Supplier Planning, evaluation and of supplier contracts, supplier categorization, contract management, performance management, contract renewal or termination. This helps in establishing the single point of control for supplier management by defining and maintaining the strategy, policy for supplier management.
Various different type of supplier’s relationship exist based on the supplier strategy. That is,
• Insourcing – refers to the supply of the services which are developed and provisioned internally within the organization.
• Outsourcing – refers to the supply of the services which are developed and provisioned external to the organization
• Single source of partnership – refers to the procurement of services or products from the single supplier or partner
• Multi-sourcing – refers to the procurement of services or products from more than one supplier or partner
Further, Service integration has to be performed by orchestrating all the suppliers involved in developing and delivering the products and services. It has to focus on provisioning the services end to end and ensure the control on all the interface and integration points which facilitate the required collaboration among all the services and supplier of the services</t>
  </si>
  <si>
    <t>Workforce and Talent Management</t>
  </si>
  <si>
    <t>To ensure that the organization has the right set of people with appropriate skills, capabilities and knowledge that support the business objectives.
The workforce and talent management practices involve the activities which focuses on engagement of people and employees of the organization, enabling them to perform with continued motivation and knowledge, and ensuring the availability of the right set of capabilities in the organization.
This includes thorough planning, recruiting, onboarding, training, performance monitoring and management etc. The skills and capability of people resources are key to the success of the organization, which helps in establishing the required velocity (The speed, effectiveness, and efficiency with which an organization operates. Organizational velocity influences time to market, quality, safety, costs, and risks).
The workforce and talent management include the activities mentioned in the below picture. That is,
• Workforce management – refers to the translating strategies of organization to desired capabilities of organization.
• Recruitment – refers to identification and selection of right set of people resources with right set of skills and capabilities.
• Performance measurement – refers to continual monitoring and measurement  of the performance,  based on the skills, competencies required to assigned role.
• Personal development – refers to continual development of individual skills and capabilities suitable for assigned job role.
• Learning and development – refers to the methods and approaches adopted by an organization to enable employees of organizationwith specific area of expertise and specialization.
• Mentoring &amp; succession planning – refers to the plan and activities applied for formal mentoring, engaging and enhancing the ability of leadership capabilities.</t>
  </si>
  <si>
    <t>Service Management Practice Area (17)</t>
  </si>
  <si>
    <t>The 17 Service Management Practices are considered for all the services and applicable for the service in specific. These provide the views which are to be practiced throughout, while managing the services &amp; products.  
For example: Monitoring and event Management – The practices focus on monitoring the events of a specific service, perform the event correlation and trigger appropriate action as configured in the services.</t>
  </si>
  <si>
    <t>Availability Management</t>
  </si>
  <si>
    <t>To ensure service availability meets the needs of the business i.e. customer and users.
Availability of the services, as needed by business, is the outcome of the availability of the service assets (components), serviceability of the supplier, reliability of the service, effectiveness and efficiency of the service practices and design. Availability means, “available when needed”.
For example, the availability requirement of a bank’s (over the counter) services is from 9:00am to 3:00pm.  During this service window, the availability of the services should be 100%. It is only possible, if the application, computer systems, bank premise, people, electric power etc., are available without any disruption or degradation. So, the organization should understand the availability requirement of the services (firstly), and accordingly services have to be defined, designed &amp; deployed. It involves;
• Discussing, negotiating, establishing and agreeing the availability of targets, which are achievable
• Defining and designing IT infrastructure and software applications which can deliver the required availability levels
• Identification and collection of data which are required for measuring availability i.e., number of incidents occurred, time taken to restore services etc.
• Enabling the continuous monitoring which helps in continual assessment,  analysis of availability  of services and service Components
• Continual measurement &amp; reporting
• Identifying &amp; improving the service availability continually</t>
  </si>
  <si>
    <t>Business Analysis</t>
  </si>
  <si>
    <t>To ensure analyzing the business &amp; business elements and ensure the recommendation of solutions which will address and solve the business.  	
Further the value is enabled in alignment with the objectives of the business and organization.  Business analysis, should consider the overall perspective (holistically), which includes people, process, policies, technology, organization, information etc.
Business analysis practices have to ensure considering  the overall contribution to the business rather than one area or at one level.  For example: restricting the business analysis to the product development will not result in the solution which is not complete in all aspects of the business alignment and value creation.
This involves;
• Analyzing services, service architecture, systems, process which contributes to business considering the various different contexts of the business.
• Considering all the SVS components for analysis that needs treatment to improve, identifying opportunity to innovate etc.
• Continually monitor, measure, report, and document, to ensure the performances are in line with the business requirement
• Continually recommending the solution through thorough analysis i.e. by validating the achievement with the respective stakeholder.</t>
  </si>
  <si>
    <t>Capacity and Performance Management</t>
  </si>
  <si>
    <t>To ensure that sufficient capacity is available to the services and that service performs at the level expected and achieves the objectives demanded by the services in a cost-effective way.  Service Capacity and Performance management practices consider the performance related to a number of service actions performed within the given timeline-- the time required or taken to complete the service actions at the load (various levels of demand).
For example: how long it took for a webpage to appear after entering the url, which depends on the capacity of server hosting webpage, application, internet bandwidth, storage, systems used to connect and browse the webpage etc.  Service capacity is the result of the various different capacities at different levels. That is, capacity of the various components configured to create a service (as indicated in the example above). Each of these components Description perform at a certain level based on the utilization and availability of the capacity in these service components.
The capacity and performance management practice include the activities that are required for;
• Checking the performance of the service and analysing the capacity monitoring and managing the service performance by ensuring sufficient capacity required for service performance
• Researching, analysing and forecasting the requirement of capacity on continual basis by modelling performance
• Planning and implementing the capacity
• Identifying and improving the capacity</t>
  </si>
  <si>
    <t>Change Control</t>
  </si>
  <si>
    <t>To ensure maximizing the success rate of the changes, being executed in a service environment through the proper assessment, analysis and authorization of all the changes.  Change refers to the add, move, modify, improve, remove etc., the features, functionalities of a services &amp; service components. This includes hardware, software, process, products, documents etc.which are used to form a service. All the changes implemented have to have the formal authorization before they are implemented. This is essential to ensure the integrity of the systems, so that all the changes are controlled and done through involvement of right stakeholders.
Change control should aim at success of the changes being executed. This requires raising change requests, reviewing, analyzing and approving these changes before they are implemented. All the changes implemented should result in accomplishing the intended objectives of the change. It should be justifiable, beneficial and successful. No changes should result in failures of the services or service components which are attributable to change. Changes are of three types. They are Standard Change, Normal change and Emergency Change.
Standard Changes are the changes that are pre-approved, pre-authorized, low impact and low risk. For example: resetting a password of a user system. The standard changes are executed through request management practice.
Normal Changes are the changes that have significant impact to business and needs analysis and authorization from the authorized. These changes are executed after raising the formal change request, their analysis and authorization</t>
  </si>
  <si>
    <t>Incident Management</t>
  </si>
  <si>
    <t>To ensure restoration of services to normal working conditions by resolving and restoring the services during the incidents, and minimizing the impact to business, which occurs due to the incidents, as per the business need.  The term, “Incident”, refers to the interruption to the IT services or degradation of the service performance. The interruption or degradation of the service &amp; service performance would result in negative impact to business. For example: Users are unable to access their email.
Incident management practices should aim at restoring the services quickly, and ensure services are available to business (users), as defined. The occurrence of the incidents may result in impact to a user or many. These may result in influencing the value perception of the customer. It is essential to ensure the availability of the services to customer as defined and agreed.
Incident management practices should ensure, all the incidents are logged, categorized, prioritized and resolved. The time taken to respond during (&amp; resolving) an incident, should be analyzed based on the scenario. Usually it is based on Impact and urgency. These needs to be defined and agreed for every service, according to, what make sense to business.
Incident management practice should also provide the appropriate management and allocation of different resources, for different types of incidents. Impact of incidents may vary from low to very high. Requirement of resources to resolve the incidents depends on the complexity involved in resolving them. Accordingly, resources are utilized during the incident resolution. Major incidents which will have major impact to the business would require separate process or procedure. Similarly, to manage the incidents related to information security, information related to incidents has to be stored, recorded, and reviewed regularly to ensure the incident reduction, reducing resolution time etc. Approaches like improving first level call resolution and establishing known error database would bring in signification contribution.</t>
  </si>
  <si>
    <t>IT Asset Management</t>
  </si>
  <si>
    <t>To plan and manage the entire life-cycle of all the IT Assets, and ensuring maximizing the value, control costs, manage risks, enable decisions related to procurement, utilization &amp; retirement of assets, and meet contractual &amp; regulatory requirements.  IT Asset refers to any valuable services component which contributes to the delivery of the service or an IT Product. This includes hardware, software, services provided by suppliers etc. IT assets involves cost and value that comprehend the cost and value of service or product. It will be an underpinning factor based on which service provider can make decisions.
IT Asset Management focuses on capturing the details of all the IT Assets in a register and same is updated regularly. This involves entire life-cycle of the asset right from acquiring, utilizing (implementing and operation), and disposing the asset. This contributes to the visibility of assets and their value.
The IT Asset Management is a sub-practice of Asset management, which is aimed at IT related assets, whereas Asset management is applicable for all types of assets in the organization. Further, IT Asset Management involves sub-practices within, like software asset management.
The integrity of an IT Asset has to be maintained. All the hardware assets should be tagged with unique identification number, protecting software asset for unlawful copying, grouping assets using the category etc. This will help in better management of IT assets through-out its lifecycle. It should also provide the details of the IT Assets like current and historical data, reports, and support to other practices about IT assets, which is a key element to successful service management as well as being useful to other practices.</t>
  </si>
  <si>
    <t xml:space="preserve"> Monitoring and Event Management</t>
  </si>
  <si>
    <t>To ensure the services and service components are observed systematically, detect &amp; report the change of state which has significance to service, service performance and contribution to business.  The monitoring and event management practice manages the events throughout the life-cycle to ensure prevention or elimination of negative impact to the business.
“Event”, refers to the change of state that will have significant impact to the management of an IT service or service component. Events are of three types. That is informational, warning and exceptional.
Information events are those which will not have any serious impact to the services, but service personnel should be communicated upon occurrences of such events. For example: back-up completed etc.
Warning events are those, which if not treated now, may lead to failure of an IT Service. For example: if the utilization of a storage reached 80%, it has to be checked, so that appropriate action can be initiated to reduce the impact because of increased utilization beyond 80%.
Exceptional events refer to the scenarios of failure of an IT service or service component, resulting in impact to business, which needs to be resolved and restored.
Monitoring and event management practices detects these changes of state, makes sense out of them and triggers the control actions required to address the scenarios. Control actions depends on the type of events and the actions configured for these event types.</t>
  </si>
  <si>
    <t>Problem Management</t>
  </si>
  <si>
    <t>To identify the potential &amp; actual causes of incidents and reduce the probability of the impacts of incidents by providing the solutions and workarounds, including the creation of known errors.  Problem refers to an underlying cause or potential cause of one or more incidents. Problem management practice focuses on identifying these causes, so that, those can be analyzed to resolve the incidents, by providing the workaround or permanent fix. The practice involves three distinct activities. That is problem identification, problem control and error control.
Problem identification involves identifying &amp; logging problems, performing the trend analysis of the incidents, detection of duplicate or recurring incidents, identifying the risks involved in major incident scenarios, analyzing the information provided by suppliers, developers, partners, etc.
Problem control involves, analyzing the problem, identification of workarounds or permanent fix to the identified problem. It may or may not provide solutions to known errors that have been identified.</t>
  </si>
  <si>
    <t>Release Management</t>
  </si>
  <si>
    <t>To ensure that the new or changed services and their features are available to use.  The term “Release”, refers to the specific version of a service or a configuration item or collection of configuration items which are made available to use.
A release would comprise of various different infrastructure and application components which should work together to deliver a services or service functionality. This may include processes, tools, documents, training including the those developed internally and supplied by the supplier or partner.
The  release  management  practices work  closely with deployment   management practice. This depends on the approaches required in the given environment for releasing and deploying a services or service component to service environment.
Release management typically involves activities like, release planning, release packaging, release scheduling etc., so that the objectives, features, functionalities of the release are well understood by the users.
The release approach may include  big bang or phased, manual or automated, push or pull depending on the size, complexity, speed etc., needed in release and deployment. In scenario of DevOps, CI/CD tool chain is considered.</t>
  </si>
  <si>
    <t>Service Catalogue Management</t>
  </si>
  <si>
    <t>To provide the single source of information for all the services and service offerings, consistently and ensure that it is available to the authorized.  The service catalogue captures the details of services, which are operational and is the single source of information for all the services and services offerings.  Service catalogue management practices should ensure the updating, modifying and maintaining the description of the services and service offerings regularly.  So that, the information captured in the service catalogue about the services are latest, updated and up to date.
The services catalogue is created to fulfill the specific needs of the specific kind of service consumers.  For example: while visiting the website of a mobile service provider, one can find the various plans and descriptions of mobile services which are applicable to retail customers. Whereas same is not referred if there is an engagement with a corporate organization. Here the discussion and details differ compared to retain list.
This means, that the service catalogue should provide different views and different levels of detail to different stakeholders. Examples of views include:
• The user views which provide the information of service offerings that can be requested by user, and the details of provisioning.
• The customer views which would provide the details of service level, financial, and the detail of service performance, which would help customer to choose the specific service offering
• The technical or IT to IT customer views which provides the technical, security, and process information for use in service delivery.</t>
  </si>
  <si>
    <t>Service Configuration Management</t>
  </si>
  <si>
    <t>To ensure the availability of the information related to service configuration and the configuration items (CI) which are used to form service, when needed, including the relationship between CIs, i.e. the way they are configured.  Service configuration management identifies, captures and establishes the configuration database which stores information about all the configuration items and their relationships. Configuration item, refers to all the software, hardware, people, documents, building etc.which are used to form a service.
It is essential to ensure that the integrity of all the CI’s and their configurations are safeguarded, and at the same time the details captured in configuration management database are accurate, up to date, relevant and updated. It should provide the details, which is as per the actual implementation, always.
The Service configuration management should establish the snapshot of configuration and relationship with configuration items and help get the visibility into, how each of the service components (&amp; CIs) are connected and contribute to the service and service performance. 
Configuration Management database has to be updated regularly i.e. while implementing a change for resolving incidents, updating or modifying the services and service attributes etc.</t>
  </si>
  <si>
    <t>Service Continuity Management</t>
  </si>
  <si>
    <t>To ensure the availability of minimum services at a sufficient level for business to sustain in the event of disasters.  The service continuity management practices aim at providing the framework, which helps in building the resilience required, with the capability of producing the responses, that safeguards the reputation of organization &amp; its brand, the interests of stakeholders, and support activities which create values.
The service continuity management practice should support the overall  business continuity and consider the risk associated with the business. This practice is triggered in the scenarios where the disruption has occurred at the level where its severity is beyond the ability of the organization to fix with normal response procedures.
Service continuity management should focus on those events that would have the significant impact to the business i.e. business cannot continue its operation, during those scenarios that include flood, hurricane, earthquake, etc. During these scenarios, business has to ensure availability of services which are at least required to reduce the impact of those events, with (minimum) or without impact to the business and its sustenance.
To understand this, the organization has to conduct Business impact analysis (BIA) and Risk analysis, and make themselves ready by establishing disaster recovery plans. It should define the required recovery time objective (RTO) and recovery point objective (RPO).
Recovery Time Objective (RTO), refers to the time period (maximum) that can elapse after occurrences of the disaster event before it impacts the business seriously due to lack of business functionalities.
Recovery point objective (RPO) refers to the point to which information utilized by an activity has to be restored for resumption of the activity.</t>
  </si>
  <si>
    <t>Service Design</t>
  </si>
  <si>
    <t>To ensure designing the services and products that has utility (fit for purpose) and warranty (fit for use), which will facilitate the customer to achieve the outcome required.  Service design practice focuses on designing the products &amp; services considering the people, practices, products, suppliers, partners, information &amp; communication, processes required to fulfill the requirement of the customer, so that customer can get the value required. Designing solution architecture, service architecture, technology architecture, management information systems, tools, processes, measurement methods, metrics (CSF &amp; KPI required to measure the services) etc., are essential.
The services designed should address the need of both customer and service provider, in a cost-effective way. Service should be designed to have the resilience, security, availability, capacity, continuity required to fulfill the need of the business.
Further, it is essential to holistically visualize the service through end to end value streams (i.e. Demand to value), so that all the dynamics of the services &amp; service environment are correctly understood and considered while designing the service. It is very important to understand and focus on the experience of customer &amp; users.
So, service design should support the services and products that support business and service orientation, is cost-effective, user friendly, adaptable &amp; adoptable, secure enough, manages risks, is scalable, and flexible so that changes can be done quickly etc.</t>
  </si>
  <si>
    <t>Service Desk</t>
  </si>
  <si>
    <t>To ensure there is a single point of contact for users of the services to contact during service interruption, service queries etc.  Service desk practice provides the required channel for users to contact for reporting issues, requests, queries. Further service desk will acknowledge &amp; log, classify, prioritize and action to resolve &amp; fulfill (incidents &amp; requests respectively), as applicable.
With the advancement of technology and every business being a technology enabled organization, it has become important to consider the impact that is made to the business and organization, and service desk should focus on providing the support to business and people to enable them to be successful. The focus should be beyond the action limited to the resolution of technical issues alone.
It is essential to establish a culture of collaboration, so that service desk staff and the other executives with different capabilities can work together to add value to business and provide good user experiences. Service desk uses telephone, emails, chatbots, ticketing tools etc., which support them while providing the services.
Service desk should have a clear understanding of the wider organization, the business process and user base who use the services and need support from service desk. Further to improve the service desk practice performance, service desk has to consider monitoring and measuring its performance capturing and producing the records, achievements, identifying the opportunities for improvements.
The service desk types are many, and some of those are local service desk, centralized service desk, virtual service desk, follow the sun service desk, and specialized service desk.</t>
  </si>
  <si>
    <t>Service Level Management</t>
  </si>
  <si>
    <t>To define, set and agree clear targets for services, so that services performance can be monitored and managed throughout the life-cycle of the service, against these targets.  The service level management practice defines, documents and manages the service levels of all the services and products. Service level management should provide the end to end visibility of all the organizational services. Service level management has to establish and provide the service views with service level target ensure meeting defined service levels by collecting, analyzing, storing and reporting all the defined target metrics of the services regularly (periodically) perform the service reviews and ensure the services meet the organization’s needs continuously identify, capture, review &amp; report the issues related to services, its performance against the defined service targets.
The success of service level management will be based on the effectiveness of  the interfaces established with other practices like relationship management, business analysis, supplier management etc. Further, service level management should focus and put efforts to engage and understand the requirements and concerns correctly. This would provide better insight towards the actual requirements &amp; concerns of the customers and stakeholders.
Service level agreements have to be established by understanding the nature of the business, business dynamics, technology environment, what makes the business successful, insights obtained while engaging with the customer and their feedback through survey etc. This should help in establishing the measurement metrics i.e. business metrics, service metrics, and process metrics etc., which can be measured in the perspective of business performance, service performance and process performance (operational performance) respectively. Each of these metrics should complement and align towards a common objective.</t>
  </si>
  <si>
    <t>Service Request Management</t>
  </si>
  <si>
    <t>To support the agreed quality of the service by handling the pre-defined user requests, which are initiated by users in a professional and friendly manner.  A service request can be defined as “A request from a user or a user’s authorized representative that initiates a service action which has been agreed as a normal part of service delivery”. For example: requesting for an information, or an asset like laptop, printer cartridge etc.
Standard changes are also fulfilled by service request management. Generally, all the requests handled by service request management are pre-authorized, which are essential needs of regular operation of the business. This need of approval for all the request logged is not required repeatedly as they are standard and more repetitive in nature, thus pre-approved.
To fulfill a service request (simple or complex), the established steps need to be proven and agreed upon, so that the fulfillment of the requests is smoother and further they can be standardized and automated as needed by the organization.
Every type of service request should have the timelines established and agreed with customers, so that it can be fulfilled within the given time lines. For example: due to information security reason, if organization has the policy to block all the USB ports of employee’s laptops by default, and in the scenario of a roaming user, who needs the USB port to be opened while travelling, the employee should know the way the request has to be placed and the duration it takes to fulfill the request. This helps the employee to follow and avail the services accordingly. Further, request fulfilment practices should have the consideration emergency cases as well.</t>
  </si>
  <si>
    <t>Service Validation and Testing</t>
  </si>
  <si>
    <t>To ensure the new or changed services and products are validated, so that they meet the defined &amp; agreed requirements.  Service validation focuses on establishing the acceptance criteria defined in release management that is required for successful deployment (i.e. the conditions which has to be met for readiness for the production). These are verified through testing at multiple levels. The acceptance criteria will be focused on utility &amp; warranty which are defined through understanding customer, regulatory, business, risk management, and security requirements.
The consideration of the environment, platform, individual or set of  services has to be made while defining the testing strategy &amp; further it has to consider overall approach. Testing has to be done for all the systems at all levels &amp; it includes both developed in-house and supplied by external suppliers.
Testing consideration while testing the utility (functional test) of the services can be unit test, system test, integration test, regression test. Whereas the consideration while testing warranty (non-functional test) of the services can be performance &amp; capacity test, security test, compliance test, operational test, warranty requirement test, user acceptance test.</t>
  </si>
  <si>
    <t>Technical Management Practice Area (3)</t>
  </si>
  <si>
    <t>The 3 Technical Management Practices are considered for all the services and applicable for the service in specific. These provide the views which are to be practiced throughout, while managing the services &amp; products.</t>
  </si>
  <si>
    <t>Deployment Management</t>
  </si>
  <si>
    <t>To ensure moving new or changed processes, software, hardware, documentation and any service components to product (live) environment.  To ensure moving new or changed processes, software, hardware, documentation and any service components to product (live) environment.
The practices deployment management, release management and change control have a close interface while introducing a change to an environment.   The deployment management practice deploys the components in the schedule proposed in a change request and approved by a change authority.
Deployment can be done in many approaches.  It may be big bang vs phased, push vs pull, and manual vs automated deployment approaches.
• Big bang approach refers to the deployment of all the components together.
• Phased approach refers to the deployment of components one after the other in different schedules (phases)
• Push approach refers to the deployment of components to the target systems, by pushing it from the central system
• Pull approach refers to the deployment of components to the target systems, by target systems pulling it from the central system
• Manual approach refers to the deployment approach which involves manual efforts while deploying
• Automated deployment refers to the deployment done in an automated way upon reaching certain conditions like time (schedule) etc.
Besides,  modern scenarios  of the organization  are pushing organizations  for becoming more responsive,  due to which approaches like continuous delivery &amp; continuous deployment are becoming popular. Communication around deployments is a part of release management. Individual deployments are not generally of interest to users and customers until they are released.</t>
  </si>
  <si>
    <t>Infrastructure and Platform Management</t>
  </si>
  <si>
    <t>To ensure overseeing the infrastructure &amp; platforms of an organization, so that it enables the monitoring and managing the technology solutions used by the organization.  The IT Infrastructure which involves server, network, storage, middleware, operating systems, that are required for delivering the IT services and the configuration items used by customer to access the services, has to be monitored and managed through out to ensure their performance at higher level, so that service can continue to deliver value to the customers. The IT Infrastructure also involves those that are managed by external suppliers.
Modern IT environment comprises of many suppliers supplied services and components like cloud services ex. platform as a service, software as a service, infrastructure as a service etc. Further this would also involve  technologies such as artificial intelligence, machine learning, chatbots, enterprise mobility, mobile device management etc., which stress on managing those for the success of services
The infrastructure and platform management practice include the provision of technology needed to support activities that create value for the organization and its stakeholders.
The infrastructure and platform management interfaces with other management practices like financial management, supplier management, capacity and performance management, change control, incident management, deployment management etc.</t>
  </si>
  <si>
    <t>Software Development and Management</t>
  </si>
  <si>
    <t>To ensure meeting stakeholder needs (both internal and external) by providing the required functionalities, which are reliable, maintainable, compliant and auditable.  The software deployment and management focus on ensure the software application are fit for purpose and fit for use so that the customer can get the value.  This involves the entire lifecycle, right from ideation till retirement as depicted in the picture “The software lifecycle”.
The software lifecycle for ITIL4
The software lifecycle includes ideation, design, develop, test, deploy operate and retire, which continually facilitate value creation for services and products delivered to customers. This also involves improvement of the services and service performances continually until it is retired.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</si>
</sst>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1"/>
      <name val="Calibri"/>
      <family val="2"/>
      <scheme val="minor"/>
    </font>
    <font>
      <b/>
      <sz val="12"/>
      <color theme="0"/>
      <name val="Calibri"/>
      <family val="2"/>
      <scheme val="minor"/>
    </font>
    <font>
      <b/>
      <sz val="14"/>
      <color theme="0"/>
      <name val="Calibri"/>
      <family val="2"/>
      <scheme val="minor"/>
    </font>
    <font>
      <b/>
      <sz val="11"/>
      <color rgb="FF000000"/>
      <name val="Calibri"/>
      <family val="2"/>
      <scheme val="minor"/>
    </font>
    <font>
      <sz val="10"/>
      <color indexed="8"/>
      <name val="Arial"/>
      <family val="2"/>
    </font>
    <font>
      <sz val="11"/>
      <color theme="1"/>
      <name val="Arial"/>
      <family val="2"/>
    </font>
    <font>
      <b/>
      <sz val="11"/>
      <color theme="0"/>
      <name val="Arial"/>
      <family val="2"/>
    </font>
    <font>
      <b/>
      <sz val="11"/>
      <color theme="1"/>
      <name val="Arial"/>
      <family val="2"/>
    </font>
    <font>
      <sz val="11"/>
      <name val="Arial"/>
      <family val="2"/>
    </font>
    <font>
      <sz val="11"/>
      <color rgb="FFFF0000"/>
      <name val="Arial"/>
      <family val="2"/>
    </font>
    <font>
      <i/>
      <sz val="11"/>
      <color theme="1"/>
      <name val="Arial"/>
      <family val="2"/>
    </font>
    <font>
      <sz val="11"/>
      <color indexed="8"/>
      <name val="Arial"/>
      <family val="2"/>
    </font>
    <font>
      <b/>
      <sz val="11"/>
      <name val="Arial"/>
      <family val="2"/>
    </font>
    <font>
      <sz val="11"/>
      <color rgb="FFFF0000"/>
      <name val="Calibri"/>
      <family val="2"/>
      <scheme val="minor"/>
    </font>
    <font>
      <sz val="11"/>
      <color theme="0"/>
      <name val="Arial"/>
      <family val="2"/>
    </font>
    <font>
      <sz val="16"/>
      <color rgb="FFFF0000"/>
      <name val="Calibri"/>
      <family val="2"/>
      <scheme val="minor"/>
    </font>
    <font>
      <sz val="11"/>
      <color rgb="FF000000"/>
      <name val="Calibri"/>
      <family val="2"/>
      <scheme val="minor"/>
    </font>
    <font>
      <b/>
      <sz val="20"/>
      <color rgb="FF000000"/>
      <name val="Arial"/>
      <family val="2"/>
    </font>
    <font>
      <b/>
      <sz val="12"/>
      <color rgb="FFFF0000"/>
      <name val="Arial"/>
      <family val="2"/>
    </font>
    <font>
      <b/>
      <sz val="14"/>
      <color theme="0"/>
      <name val="Arial"/>
      <family val="2"/>
    </font>
    <font>
      <b/>
      <sz val="12"/>
      <color theme="0"/>
      <name val="Arial"/>
      <family val="2"/>
    </font>
    <font>
      <sz val="12"/>
      <color theme="0"/>
      <name val="Arial"/>
      <family val="2"/>
    </font>
    <font>
      <b/>
      <sz val="12"/>
      <color theme="1"/>
      <name val="Arial"/>
      <family val="2"/>
    </font>
    <font>
      <b/>
      <sz val="11"/>
      <color rgb="FFFF0000"/>
      <name val="Arial"/>
      <family val="2"/>
    </font>
    <font>
      <sz val="8"/>
      <name val="Calibri"/>
      <family val="2"/>
      <scheme val="minor"/>
    </font>
  </fonts>
  <fills count="26">
    <fill>
      <patternFill patternType="none"/>
    </fill>
    <fill>
      <patternFill patternType="gray125"/>
    </fill>
    <fill>
      <patternFill patternType="solid">
        <fgColor theme="1"/>
        <bgColor indexed="64"/>
      </patternFill>
    </fill>
    <fill>
      <patternFill patternType="solid">
        <fgColor theme="4" tint="0.79998168889431442"/>
        <bgColor theme="4" tint="0.79998168889431442"/>
      </patternFill>
    </fill>
    <fill>
      <patternFill patternType="solid">
        <fgColor theme="8" tint="-0.249977111117893"/>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7" tint="0.39997558519241921"/>
        <bgColor rgb="FF000000"/>
      </patternFill>
    </fill>
    <fill>
      <patternFill patternType="solid">
        <fgColor theme="4" tint="0.79998168889431442"/>
        <bgColor indexed="64"/>
      </patternFill>
    </fill>
    <fill>
      <patternFill patternType="solid">
        <fgColor theme="0" tint="-0.499984740745262"/>
        <bgColor indexed="64"/>
      </patternFill>
    </fill>
    <fill>
      <patternFill patternType="solid">
        <fgColor rgb="FF002060"/>
        <bgColor indexed="64"/>
      </patternFill>
    </fill>
    <fill>
      <patternFill patternType="solid">
        <fgColor rgb="FFE7E6E6"/>
        <bgColor rgb="FF000000"/>
      </patternFill>
    </fill>
    <fill>
      <patternFill patternType="solid">
        <fgColor theme="0" tint="-4.9989318521683403E-2"/>
        <bgColor indexed="64"/>
      </patternFill>
    </fill>
    <fill>
      <patternFill patternType="solid">
        <fgColor theme="0"/>
        <bgColor indexed="64"/>
      </patternFill>
    </fill>
    <fill>
      <patternFill patternType="solid">
        <fgColor rgb="FF538235"/>
        <bgColor indexed="64"/>
      </patternFill>
    </fill>
    <fill>
      <patternFill patternType="solid">
        <fgColor theme="2"/>
        <bgColor indexed="64"/>
      </patternFill>
    </fill>
    <fill>
      <patternFill patternType="solid">
        <fgColor rgb="FF002060"/>
        <bgColor theme="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4.9989318521683403E-2"/>
        <bgColor rgb="FF000000"/>
      </patternFill>
    </fill>
  </fills>
  <borders count="17">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theme="4" tint="0.39997558519241921"/>
      </bottom>
      <diagonal/>
    </border>
    <border>
      <left/>
      <right/>
      <top style="medium">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bottom style="thin">
        <color theme="0" tint="-0.499984740745262"/>
      </bottom>
      <diagonal/>
    </border>
    <border>
      <left/>
      <right/>
      <top style="thin">
        <color indexed="64"/>
      </top>
      <bottom style="thin">
        <color indexed="64"/>
      </bottom>
      <diagonal/>
    </border>
  </borders>
  <cellStyleXfs count="7">
    <xf numFmtId="0" fontId="0" fillId="0" borderId="0"/>
    <xf numFmtId="0" fontId="8" fillId="0" borderId="0"/>
    <xf numFmtId="0" fontId="8" fillId="0" borderId="0"/>
    <xf numFmtId="0" fontId="4" fillId="0" borderId="0"/>
    <xf numFmtId="0" fontId="4" fillId="0" borderId="0"/>
    <xf numFmtId="0" fontId="4" fillId="0" borderId="0"/>
    <xf numFmtId="0" fontId="4" fillId="0" borderId="0"/>
  </cellStyleXfs>
  <cellXfs count="237">
    <xf numFmtId="0" fontId="0" fillId="0" borderId="0" xfId="0"/>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xf>
    <xf numFmtId="0" fontId="6" fillId="4" borderId="4" xfId="0" applyFont="1" applyFill="1" applyBorder="1" applyAlignment="1">
      <alignment horizontal="left" vertical="center" wrapText="1"/>
    </xf>
    <xf numFmtId="0" fontId="1" fillId="5" borderId="8" xfId="0" applyFont="1" applyFill="1" applyBorder="1" applyAlignment="1">
      <alignment vertical="top" wrapText="1"/>
    </xf>
    <xf numFmtId="0" fontId="0" fillId="6" borderId="4" xfId="0" applyFill="1" applyBorder="1" applyAlignment="1">
      <alignment vertical="top" wrapText="1"/>
    </xf>
    <xf numFmtId="0" fontId="7" fillId="7" borderId="4" xfId="0" applyFont="1" applyFill="1" applyBorder="1" applyAlignment="1">
      <alignment vertical="top" wrapText="1"/>
    </xf>
    <xf numFmtId="0" fontId="0" fillId="8" borderId="4" xfId="0" applyFill="1" applyBorder="1" applyAlignment="1">
      <alignment vertical="top" wrapText="1"/>
    </xf>
    <xf numFmtId="0" fontId="1" fillId="9" borderId="4" xfId="0" applyFont="1" applyFill="1" applyBorder="1" applyAlignment="1">
      <alignment vertical="top" wrapText="1"/>
    </xf>
    <xf numFmtId="0" fontId="0" fillId="10" borderId="4" xfId="0" applyFill="1" applyBorder="1" applyAlignment="1">
      <alignment vertical="top" wrapText="1"/>
    </xf>
    <xf numFmtId="0" fontId="1" fillId="7" borderId="4" xfId="0" applyFont="1" applyFill="1" applyBorder="1" applyAlignment="1">
      <alignment vertical="top" wrapText="1"/>
    </xf>
    <xf numFmtId="0" fontId="1" fillId="5" borderId="4" xfId="0" applyFont="1" applyFill="1" applyBorder="1" applyAlignment="1">
      <alignment vertical="top" wrapText="1"/>
    </xf>
    <xf numFmtId="0" fontId="0" fillId="11" borderId="0" xfId="0" applyFill="1" applyAlignment="1">
      <alignment horizontal="center" vertical="center"/>
    </xf>
    <xf numFmtId="0" fontId="0" fillId="11" borderId="0" xfId="0" applyFill="1" applyAlignment="1">
      <alignment vertical="center"/>
    </xf>
    <xf numFmtId="0" fontId="0" fillId="11" borderId="0" xfId="0" applyFill="1" applyAlignment="1">
      <alignment vertical="center" wrapText="1"/>
    </xf>
    <xf numFmtId="0" fontId="0" fillId="11" borderId="0" xfId="0" applyFill="1" applyAlignment="1">
      <alignment horizontal="center" vertical="center" wrapText="1"/>
    </xf>
    <xf numFmtId="0" fontId="0" fillId="11" borderId="1" xfId="0" applyFont="1" applyFill="1" applyBorder="1" applyAlignment="1">
      <alignment horizontal="center" vertical="center"/>
    </xf>
    <xf numFmtId="0" fontId="0" fillId="11" borderId="1" xfId="0" applyFont="1" applyFill="1" applyBorder="1" applyAlignment="1">
      <alignment horizontal="center" vertical="center" wrapText="1"/>
    </xf>
    <xf numFmtId="0" fontId="0" fillId="11" borderId="3" xfId="0" applyFont="1" applyFill="1" applyBorder="1" applyAlignment="1">
      <alignment vertical="center"/>
    </xf>
    <xf numFmtId="0" fontId="0" fillId="11" borderId="0" xfId="0" applyFill="1" applyBorder="1" applyAlignment="1">
      <alignment horizontal="center" vertical="center"/>
    </xf>
    <xf numFmtId="0" fontId="0" fillId="11" borderId="0" xfId="0" applyFill="1" applyBorder="1" applyAlignment="1">
      <alignment vertical="center" wrapText="1"/>
    </xf>
    <xf numFmtId="0" fontId="0" fillId="11" borderId="1" xfId="0" applyFont="1" applyFill="1" applyBorder="1" applyAlignment="1">
      <alignment vertical="center"/>
    </xf>
    <xf numFmtId="0" fontId="0" fillId="11" borderId="1" xfId="0" applyFont="1" applyFill="1" applyBorder="1" applyAlignment="1">
      <alignment vertical="center" wrapText="1"/>
    </xf>
    <xf numFmtId="0" fontId="0" fillId="11" borderId="2" xfId="0" applyFont="1" applyFill="1" applyBorder="1" applyAlignment="1">
      <alignment vertical="center" wrapText="1"/>
    </xf>
    <xf numFmtId="0" fontId="0" fillId="13" borderId="0" xfId="0" applyFill="1" applyAlignment="1">
      <alignment horizontal="center" vertical="center"/>
    </xf>
    <xf numFmtId="0" fontId="0" fillId="13" borderId="0" xfId="0" applyFill="1" applyAlignment="1">
      <alignment vertical="center" wrapText="1"/>
    </xf>
    <xf numFmtId="0" fontId="0" fillId="13" borderId="0" xfId="0" applyFill="1" applyAlignment="1">
      <alignment vertical="center"/>
    </xf>
    <xf numFmtId="0" fontId="9" fillId="0" borderId="4" xfId="0" applyFont="1" applyBorder="1" applyAlignment="1">
      <alignment horizontal="left" vertical="top" wrapText="1"/>
    </xf>
    <xf numFmtId="0" fontId="9" fillId="0" borderId="0" xfId="0" applyFont="1" applyAlignment="1">
      <alignment horizontal="left" vertical="top"/>
    </xf>
    <xf numFmtId="0" fontId="9" fillId="0" borderId="0" xfId="0" applyFont="1" applyAlignment="1">
      <alignment vertical="top" wrapText="1"/>
    </xf>
    <xf numFmtId="0" fontId="9" fillId="0" borderId="0" xfId="0" applyFont="1"/>
    <xf numFmtId="0" fontId="11" fillId="0" borderId="0" xfId="0" applyFont="1" applyAlignment="1">
      <alignment horizontal="left" vertical="top"/>
    </xf>
    <xf numFmtId="0" fontId="11" fillId="0" borderId="0" xfId="0" applyFont="1" applyAlignment="1">
      <alignment horizontal="right"/>
    </xf>
    <xf numFmtId="0" fontId="11" fillId="0" borderId="0" xfId="0" applyFont="1" applyFill="1"/>
    <xf numFmtId="0" fontId="9" fillId="0" borderId="1" xfId="0" applyFont="1" applyFill="1" applyBorder="1" applyAlignment="1">
      <alignment vertical="center"/>
    </xf>
    <xf numFmtId="0" fontId="9" fillId="0" borderId="0" xfId="0" applyFont="1" applyFill="1" applyBorder="1" applyAlignment="1">
      <alignment vertical="center"/>
    </xf>
    <xf numFmtId="0" fontId="9" fillId="0" borderId="0" xfId="0" applyFont="1" applyFill="1" applyBorder="1" applyAlignment="1">
      <alignment vertical="center" wrapText="1"/>
    </xf>
    <xf numFmtId="0" fontId="9" fillId="0" borderId="0" xfId="0" applyFont="1" applyFill="1"/>
    <xf numFmtId="0" fontId="9" fillId="0" borderId="0" xfId="0" applyFont="1" applyBorder="1"/>
    <xf numFmtId="0" fontId="13" fillId="0" borderId="0" xfId="0" applyFont="1" applyFill="1" applyBorder="1" applyAlignment="1">
      <alignment vertical="center"/>
    </xf>
    <xf numFmtId="0" fontId="11" fillId="0" borderId="0" xfId="0" applyFont="1" applyAlignment="1">
      <alignment horizontal="right" wrapText="1"/>
    </xf>
    <xf numFmtId="0" fontId="9" fillId="0" borderId="0" xfId="0" applyFont="1" applyAlignment="1">
      <alignment wrapText="1"/>
    </xf>
    <xf numFmtId="0" fontId="11" fillId="0" borderId="0" xfId="0" applyFont="1" applyFill="1" applyAlignment="1">
      <alignment wrapText="1"/>
    </xf>
    <xf numFmtId="0" fontId="10" fillId="2" borderId="0" xfId="0" applyFont="1" applyFill="1" applyAlignment="1">
      <alignment wrapText="1"/>
    </xf>
    <xf numFmtId="0" fontId="9" fillId="2" borderId="0" xfId="0" applyFont="1" applyFill="1" applyBorder="1" applyAlignment="1">
      <alignment wrapText="1"/>
    </xf>
    <xf numFmtId="0" fontId="9" fillId="2" borderId="0" xfId="0" applyFont="1" applyFill="1" applyAlignment="1">
      <alignment wrapText="1"/>
    </xf>
    <xf numFmtId="0" fontId="9" fillId="0" borderId="1" xfId="0" applyFont="1" applyFill="1" applyBorder="1" applyAlignment="1">
      <alignment vertical="center" wrapText="1"/>
    </xf>
    <xf numFmtId="0" fontId="9" fillId="0" borderId="0" xfId="0" applyFont="1" applyFill="1" applyAlignment="1">
      <alignment wrapText="1"/>
    </xf>
    <xf numFmtId="0" fontId="9" fillId="3" borderId="1" xfId="0" applyFont="1" applyFill="1" applyBorder="1" applyAlignment="1">
      <alignment horizontal="center" vertical="center"/>
    </xf>
    <xf numFmtId="0" fontId="9" fillId="3" borderId="1" xfId="0" applyFont="1" applyFill="1" applyBorder="1" applyAlignment="1">
      <alignment vertical="center"/>
    </xf>
    <xf numFmtId="0" fontId="9" fillId="3" borderId="1" xfId="0" applyFont="1" applyFill="1" applyBorder="1" applyAlignment="1">
      <alignment vertical="center" wrapText="1"/>
    </xf>
    <xf numFmtId="0" fontId="9" fillId="3" borderId="2" xfId="0" applyFont="1" applyFill="1" applyBorder="1" applyAlignment="1">
      <alignment vertical="center" wrapText="1"/>
    </xf>
    <xf numFmtId="0" fontId="9" fillId="0" borderId="1" xfId="0" applyFont="1" applyBorder="1" applyAlignment="1">
      <alignment horizontal="center" vertical="center"/>
    </xf>
    <xf numFmtId="0" fontId="9" fillId="0" borderId="1" xfId="0" applyFont="1" applyBorder="1" applyAlignment="1">
      <alignment vertical="center"/>
    </xf>
    <xf numFmtId="0" fontId="9" fillId="0" borderId="1" xfId="0" applyFont="1" applyBorder="1" applyAlignment="1">
      <alignment vertical="center" wrapText="1"/>
    </xf>
    <xf numFmtId="0" fontId="9" fillId="0" borderId="2" xfId="0" applyFont="1" applyBorder="1" applyAlignment="1">
      <alignment vertical="center" wrapText="1"/>
    </xf>
    <xf numFmtId="2" fontId="9" fillId="0" borderId="4" xfId="0" applyNumberFormat="1" applyFont="1" applyBorder="1" applyAlignment="1">
      <alignment horizontal="left" vertical="top" wrapText="1"/>
    </xf>
    <xf numFmtId="0" fontId="9" fillId="0" borderId="4" xfId="1" applyFont="1" applyBorder="1" applyAlignment="1">
      <alignment horizontal="left" vertical="top" wrapText="1"/>
    </xf>
    <xf numFmtId="0" fontId="15" fillId="0" borderId="4" xfId="2" applyFont="1" applyBorder="1" applyAlignment="1">
      <alignment horizontal="left" vertical="top" wrapText="1"/>
    </xf>
    <xf numFmtId="0" fontId="9" fillId="0" borderId="4" xfId="2" applyFont="1" applyBorder="1" applyAlignment="1">
      <alignment horizontal="left" vertical="top" wrapText="1"/>
    </xf>
    <xf numFmtId="0" fontId="12" fillId="0" borderId="0" xfId="0" applyFont="1" applyAlignment="1">
      <alignment horizontal="left" vertical="top" wrapText="1"/>
    </xf>
    <xf numFmtId="0" fontId="12" fillId="0" borderId="4" xfId="2" applyFont="1" applyBorder="1" applyAlignment="1">
      <alignment horizontal="left" vertical="top" wrapText="1"/>
    </xf>
    <xf numFmtId="0" fontId="9" fillId="11" borderId="4" xfId="0" applyFont="1" applyFill="1" applyBorder="1" applyAlignment="1">
      <alignment horizontal="left" vertical="top" wrapText="1"/>
    </xf>
    <xf numFmtId="0" fontId="12" fillId="0" borderId="4" xfId="0" applyFont="1" applyBorder="1" applyAlignment="1">
      <alignment horizontal="left" vertical="top" wrapText="1"/>
    </xf>
    <xf numFmtId="0" fontId="9" fillId="11" borderId="4" xfId="1" applyFont="1" applyFill="1" applyBorder="1" applyAlignment="1">
      <alignment horizontal="left" vertical="top" wrapText="1"/>
    </xf>
    <xf numFmtId="0" fontId="9" fillId="12" borderId="4" xfId="1" applyFont="1" applyFill="1" applyBorder="1" applyAlignment="1">
      <alignment horizontal="left" vertical="top" wrapText="1"/>
    </xf>
    <xf numFmtId="0" fontId="9" fillId="0" borderId="4" xfId="0" applyFont="1" applyBorder="1" applyAlignment="1">
      <alignment horizontal="left" vertical="top"/>
    </xf>
    <xf numFmtId="0" fontId="9" fillId="0" borderId="0" xfId="0" applyFont="1" applyAlignment="1">
      <alignment horizontal="left" vertical="top" wrapText="1"/>
    </xf>
    <xf numFmtId="0" fontId="15" fillId="0" borderId="4" xfId="1" applyFont="1" applyBorder="1" applyAlignment="1">
      <alignment horizontal="left" vertical="top" wrapText="1"/>
    </xf>
    <xf numFmtId="2" fontId="9" fillId="0" borderId="4" xfId="3" applyNumberFormat="1" applyFont="1" applyBorder="1" applyAlignment="1">
      <alignment horizontal="left" vertical="top" wrapText="1"/>
    </xf>
    <xf numFmtId="0" fontId="9" fillId="0" borderId="4" xfId="3" applyFont="1" applyBorder="1" applyAlignment="1">
      <alignment horizontal="left" vertical="top" wrapText="1"/>
    </xf>
    <xf numFmtId="0" fontId="9" fillId="0" borderId="4" xfId="4" applyFont="1" applyBorder="1" applyAlignment="1">
      <alignment horizontal="left" vertical="top" wrapText="1"/>
    </xf>
    <xf numFmtId="0" fontId="9" fillId="0" borderId="4" xfId="5" applyFont="1" applyBorder="1" applyAlignment="1">
      <alignment horizontal="left" vertical="top" wrapText="1"/>
    </xf>
    <xf numFmtId="0" fontId="9" fillId="0" borderId="4" xfId="6" applyFont="1" applyBorder="1" applyAlignment="1">
      <alignment horizontal="left" vertical="top" wrapText="1"/>
    </xf>
    <xf numFmtId="0" fontId="9" fillId="0" borderId="4" xfId="0" applyFont="1" applyFill="1" applyBorder="1" applyAlignment="1">
      <alignment horizontal="left" vertical="top" wrapText="1"/>
    </xf>
    <xf numFmtId="0" fontId="9" fillId="11" borderId="1" xfId="0" applyFont="1" applyFill="1" applyBorder="1" applyAlignment="1">
      <alignment horizontal="left" vertical="top" wrapText="1"/>
    </xf>
    <xf numFmtId="0" fontId="16" fillId="0" borderId="0" xfId="0" applyFont="1" applyAlignment="1">
      <alignment horizontal="left" vertical="top" wrapText="1"/>
    </xf>
    <xf numFmtId="0" fontId="9" fillId="0" borderId="0" xfId="0" applyFont="1" applyFill="1" applyAlignment="1">
      <alignment horizontal="left" vertical="top" wrapText="1"/>
    </xf>
    <xf numFmtId="0" fontId="14" fillId="2" borderId="0" xfId="0" applyFont="1" applyFill="1" applyAlignment="1">
      <alignment horizontal="left" vertical="top" wrapText="1"/>
    </xf>
    <xf numFmtId="0" fontId="10" fillId="14" borderId="0" xfId="0" applyFont="1" applyFill="1" applyAlignment="1">
      <alignment wrapText="1"/>
    </xf>
    <xf numFmtId="0" fontId="9" fillId="14" borderId="0" xfId="0" applyFont="1" applyFill="1" applyBorder="1" applyAlignment="1">
      <alignment wrapText="1"/>
    </xf>
    <xf numFmtId="0" fontId="9" fillId="14" borderId="0" xfId="0" applyFont="1" applyFill="1" applyAlignment="1">
      <alignment wrapText="1"/>
    </xf>
    <xf numFmtId="0" fontId="9" fillId="2" borderId="0" xfId="0" applyFont="1" applyFill="1" applyAlignment="1">
      <alignment horizontal="left" vertical="top"/>
    </xf>
    <xf numFmtId="0" fontId="10" fillId="14" borderId="0" xfId="0" applyFont="1" applyFill="1"/>
    <xf numFmtId="0" fontId="9" fillId="14" borderId="0" xfId="0" applyFont="1" applyFill="1" applyBorder="1"/>
    <xf numFmtId="0" fontId="9" fillId="14" borderId="0" xfId="0" applyFont="1" applyFill="1"/>
    <xf numFmtId="0" fontId="11" fillId="0" borderId="5" xfId="0" applyFont="1" applyBorder="1" applyAlignment="1">
      <alignment horizontal="left" vertical="top"/>
    </xf>
    <xf numFmtId="49" fontId="18" fillId="15" borderId="0" xfId="0" applyNumberFormat="1" applyFont="1" applyFill="1" applyAlignment="1">
      <alignment horizontal="left" vertical="center" wrapText="1"/>
    </xf>
    <xf numFmtId="0" fontId="18" fillId="15" borderId="0" xfId="0" applyFont="1" applyFill="1" applyAlignment="1">
      <alignment horizontal="left" vertical="center"/>
    </xf>
    <xf numFmtId="0" fontId="18" fillId="15" borderId="0" xfId="0" applyFont="1" applyFill="1" applyAlignment="1">
      <alignment horizontal="left" vertical="center" wrapText="1"/>
    </xf>
    <xf numFmtId="0" fontId="2" fillId="0" borderId="0" xfId="0" applyFont="1" applyAlignment="1">
      <alignment horizontal="left" vertical="top"/>
    </xf>
    <xf numFmtId="0" fontId="12" fillId="0" borderId="0" xfId="0" applyFont="1" applyAlignment="1">
      <alignment horizontal="left" vertical="top"/>
    </xf>
    <xf numFmtId="49" fontId="12" fillId="0" borderId="0" xfId="0" applyNumberFormat="1" applyFont="1" applyAlignment="1">
      <alignment horizontal="left" vertical="top" wrapText="1"/>
    </xf>
    <xf numFmtId="0" fontId="17" fillId="0" borderId="0" xfId="0" applyFont="1" applyAlignment="1">
      <alignment horizontal="left" vertical="top"/>
    </xf>
    <xf numFmtId="49" fontId="2" fillId="0" borderId="0" xfId="0" applyNumberFormat="1" applyFont="1" applyAlignment="1">
      <alignment horizontal="left" vertical="top" wrapText="1"/>
    </xf>
    <xf numFmtId="0" fontId="2" fillId="0" borderId="0" xfId="0" applyFont="1" applyAlignment="1">
      <alignment horizontal="left" vertical="top" wrapText="1"/>
    </xf>
    <xf numFmtId="0" fontId="9" fillId="0" borderId="0" xfId="0" applyFont="1"/>
    <xf numFmtId="0" fontId="9" fillId="2" borderId="0" xfId="0" applyFont="1" applyFill="1"/>
    <xf numFmtId="0" fontId="9" fillId="0" borderId="0" xfId="0" quotePrefix="1" applyFont="1"/>
    <xf numFmtId="0" fontId="9" fillId="0" borderId="0" xfId="0" applyFont="1" applyAlignment="1">
      <alignment vertical="center"/>
    </xf>
    <xf numFmtId="0" fontId="9" fillId="0" borderId="0" xfId="0" applyFont="1" applyAlignment="1">
      <alignment vertical="top"/>
    </xf>
    <xf numFmtId="0" fontId="9" fillId="0" borderId="0" xfId="0" applyFont="1" applyAlignment="1">
      <alignment horizontal="left" vertical="top"/>
    </xf>
    <xf numFmtId="0" fontId="11" fillId="0" borderId="0" xfId="0" applyFont="1" applyAlignment="1">
      <alignment horizontal="center" vertical="top"/>
    </xf>
    <xf numFmtId="0" fontId="18" fillId="2" borderId="0" xfId="0" applyFont="1" applyFill="1" applyAlignment="1">
      <alignment horizontal="center" vertical="center"/>
    </xf>
    <xf numFmtId="0" fontId="10" fillId="15" borderId="12" xfId="0" applyFont="1" applyFill="1" applyBorder="1" applyAlignment="1">
      <alignment horizontal="left" vertical="top" wrapText="1" indent="4"/>
    </xf>
    <xf numFmtId="0" fontId="10" fillId="15" borderId="0" xfId="0" applyFont="1" applyFill="1" applyBorder="1" applyAlignment="1">
      <alignment horizontal="left" vertical="top" wrapText="1" indent="4"/>
    </xf>
    <xf numFmtId="0" fontId="12" fillId="20" borderId="13" xfId="0" applyFont="1" applyFill="1" applyBorder="1" applyAlignment="1">
      <alignment horizontal="left" vertical="top" wrapText="1"/>
    </xf>
    <xf numFmtId="0" fontId="9" fillId="17" borderId="13" xfId="0" applyFont="1" applyFill="1" applyBorder="1" applyAlignment="1">
      <alignment vertical="top" wrapText="1"/>
    </xf>
    <xf numFmtId="0" fontId="10" fillId="19" borderId="13" xfId="0" applyFont="1" applyFill="1" applyBorder="1" applyAlignment="1">
      <alignment horizontal="left" vertical="top" wrapText="1"/>
    </xf>
    <xf numFmtId="0" fontId="12" fillId="0" borderId="13" xfId="0" applyFont="1" applyFill="1" applyBorder="1" applyAlignment="1">
      <alignment horizontal="left" vertical="top" wrapText="1"/>
    </xf>
    <xf numFmtId="0" fontId="12" fillId="0" borderId="14" xfId="0" applyFont="1" applyFill="1" applyBorder="1" applyAlignment="1">
      <alignment horizontal="left" vertical="top" wrapText="1"/>
    </xf>
    <xf numFmtId="0" fontId="12" fillId="18" borderId="13" xfId="0" applyFont="1" applyFill="1" applyBorder="1" applyAlignment="1">
      <alignment horizontal="left" vertical="top" wrapText="1"/>
    </xf>
    <xf numFmtId="0" fontId="12" fillId="18" borderId="14" xfId="0" applyFont="1" applyFill="1" applyBorder="1" applyAlignment="1">
      <alignment horizontal="left" vertical="top" wrapText="1"/>
    </xf>
    <xf numFmtId="0" fontId="12" fillId="0" borderId="0" xfId="0" applyFont="1" applyFill="1" applyBorder="1" applyAlignment="1">
      <alignment horizontal="left" vertical="top" wrapText="1"/>
    </xf>
    <xf numFmtId="0" fontId="10" fillId="21" borderId="1" xfId="0" applyFont="1" applyFill="1" applyBorder="1" applyAlignment="1">
      <alignment horizontal="center" vertical="center" wrapText="1"/>
    </xf>
    <xf numFmtId="0" fontId="10" fillId="21" borderId="1" xfId="0" applyFont="1" applyFill="1" applyBorder="1" applyAlignment="1">
      <alignment vertical="center" wrapText="1"/>
    </xf>
    <xf numFmtId="0" fontId="10" fillId="21" borderId="2" xfId="0" applyFont="1" applyFill="1" applyBorder="1" applyAlignment="1">
      <alignment vertical="center" wrapText="1"/>
    </xf>
    <xf numFmtId="2" fontId="10" fillId="15" borderId="4" xfId="0" applyNumberFormat="1" applyFont="1" applyFill="1" applyBorder="1" applyAlignment="1">
      <alignment horizontal="left" vertical="top" wrapText="1"/>
    </xf>
    <xf numFmtId="0" fontId="10" fillId="15" borderId="4" xfId="0" applyFont="1" applyFill="1" applyBorder="1" applyAlignment="1">
      <alignment horizontal="left" vertical="top" wrapText="1"/>
    </xf>
    <xf numFmtId="0" fontId="24" fillId="2" borderId="0" xfId="0" applyFont="1" applyFill="1" applyAlignment="1">
      <alignment horizontal="center" vertical="center"/>
    </xf>
    <xf numFmtId="0" fontId="25" fillId="2" borderId="0" xfId="0" applyFont="1" applyFill="1" applyAlignment="1">
      <alignment horizontal="center" vertical="center"/>
    </xf>
    <xf numFmtId="0" fontId="9" fillId="0" borderId="0" xfId="0" applyFont="1" applyAlignment="1">
      <alignment horizontal="left" vertical="top"/>
    </xf>
    <xf numFmtId="0" fontId="9" fillId="17" borderId="0" xfId="0" applyFont="1" applyFill="1" applyAlignment="1">
      <alignment horizontal="left" vertical="top"/>
    </xf>
    <xf numFmtId="0" fontId="11" fillId="17" borderId="0" xfId="0" applyFont="1" applyFill="1" applyAlignment="1">
      <alignment horizontal="left" vertical="top"/>
    </xf>
    <xf numFmtId="0" fontId="11" fillId="0" borderId="5" xfId="0" applyFont="1" applyBorder="1" applyAlignment="1">
      <alignment horizontal="left" vertical="top" wrapText="1"/>
    </xf>
    <xf numFmtId="0" fontId="9" fillId="8" borderId="0" xfId="0" applyFont="1" applyFill="1" applyAlignment="1">
      <alignment horizontal="left" vertical="top" wrapText="1"/>
    </xf>
    <xf numFmtId="0" fontId="9" fillId="23" borderId="0" xfId="0" applyFont="1" applyFill="1" applyAlignment="1">
      <alignment horizontal="left" vertical="top" wrapText="1"/>
    </xf>
    <xf numFmtId="0" fontId="9" fillId="6" borderId="0" xfId="0" applyFont="1" applyFill="1" applyAlignment="1">
      <alignment horizontal="left" vertical="top" wrapText="1"/>
    </xf>
    <xf numFmtId="0" fontId="9" fillId="0" borderId="1" xfId="0" applyFont="1" applyFill="1" applyBorder="1" applyAlignment="1">
      <alignment horizontal="left" vertical="top"/>
    </xf>
    <xf numFmtId="0" fontId="9" fillId="0" borderId="0" xfId="0" applyFont="1" applyFill="1" applyBorder="1" applyAlignment="1">
      <alignment horizontal="left" vertical="top"/>
    </xf>
    <xf numFmtId="0" fontId="9" fillId="0" borderId="1" xfId="0" applyFont="1" applyFill="1" applyBorder="1" applyAlignment="1">
      <alignment horizontal="left" vertical="top" wrapText="1"/>
    </xf>
    <xf numFmtId="0" fontId="10" fillId="14" borderId="0" xfId="0" applyFont="1" applyFill="1" applyAlignment="1">
      <alignment horizontal="left" vertical="top" wrapText="1"/>
    </xf>
    <xf numFmtId="0" fontId="9" fillId="0" borderId="0" xfId="0" applyFont="1" applyFill="1" applyBorder="1" applyAlignment="1">
      <alignment horizontal="left" vertical="top" wrapText="1"/>
    </xf>
    <xf numFmtId="0" fontId="12" fillId="0" borderId="10" xfId="0" applyFont="1" applyFill="1" applyBorder="1" applyAlignment="1">
      <alignment horizontal="left" vertical="top" wrapText="1"/>
    </xf>
    <xf numFmtId="0" fontId="10" fillId="14" borderId="3" xfId="0" applyFont="1" applyFill="1" applyBorder="1" applyAlignment="1">
      <alignment horizontal="left" vertical="top" wrapText="1"/>
    </xf>
    <xf numFmtId="0" fontId="10" fillId="14" borderId="0" xfId="0" applyFont="1" applyFill="1" applyBorder="1" applyAlignment="1">
      <alignment horizontal="left" vertical="top" wrapText="1"/>
    </xf>
    <xf numFmtId="0" fontId="9" fillId="14" borderId="0" xfId="0" applyFont="1" applyFill="1" applyAlignment="1">
      <alignment horizontal="left" vertical="top"/>
    </xf>
    <xf numFmtId="0" fontId="9" fillId="0" borderId="0" xfId="0" applyFont="1" applyFill="1" applyAlignment="1">
      <alignment horizontal="left" vertical="top"/>
    </xf>
    <xf numFmtId="0" fontId="9" fillId="14" borderId="0" xfId="0" applyFont="1" applyFill="1" applyAlignment="1">
      <alignment horizontal="left" vertical="top" wrapText="1"/>
    </xf>
    <xf numFmtId="0" fontId="9" fillId="0" borderId="10" xfId="0" applyFont="1" applyFill="1" applyBorder="1" applyAlignment="1">
      <alignment horizontal="left" vertical="top"/>
    </xf>
    <xf numFmtId="0" fontId="9" fillId="0" borderId="10" xfId="0" applyFont="1" applyFill="1" applyBorder="1" applyAlignment="1">
      <alignment horizontal="left" vertical="top" wrapText="1"/>
    </xf>
    <xf numFmtId="0" fontId="9" fillId="14" borderId="0" xfId="0" applyFont="1" applyFill="1" applyBorder="1" applyAlignment="1">
      <alignment horizontal="left" vertical="top"/>
    </xf>
    <xf numFmtId="0" fontId="9" fillId="14" borderId="0" xfId="0" applyFont="1" applyFill="1" applyBorder="1" applyAlignment="1">
      <alignment horizontal="left" vertical="top" wrapText="1"/>
    </xf>
    <xf numFmtId="0" fontId="9" fillId="0" borderId="0" xfId="0" applyFont="1" applyBorder="1" applyAlignment="1">
      <alignment horizontal="left" vertical="top"/>
    </xf>
    <xf numFmtId="0" fontId="10" fillId="2" borderId="0" xfId="0" applyFont="1" applyFill="1" applyAlignment="1">
      <alignment horizontal="left" vertical="top" wrapText="1"/>
    </xf>
    <xf numFmtId="0" fontId="9" fillId="2" borderId="0" xfId="0" applyFont="1" applyFill="1" applyAlignment="1">
      <alignment horizontal="left" vertical="top" wrapText="1"/>
    </xf>
    <xf numFmtId="0" fontId="10" fillId="2" borderId="3" xfId="0" applyFont="1" applyFill="1" applyBorder="1" applyAlignment="1">
      <alignment horizontal="left" vertical="top" wrapText="1"/>
    </xf>
    <xf numFmtId="0" fontId="10" fillId="2" borderId="0" xfId="0" applyFont="1" applyFill="1" applyBorder="1" applyAlignment="1">
      <alignment horizontal="left" vertical="top" wrapText="1"/>
    </xf>
    <xf numFmtId="0" fontId="9" fillId="2" borderId="0" xfId="0" applyFont="1" applyFill="1" applyBorder="1" applyAlignment="1">
      <alignment horizontal="left" vertical="top" wrapText="1"/>
    </xf>
    <xf numFmtId="0" fontId="20" fillId="16" borderId="0" xfId="0" applyFont="1" applyFill="1"/>
    <xf numFmtId="0" fontId="9" fillId="0" borderId="0" xfId="0" applyFont="1"/>
    <xf numFmtId="0" fontId="9" fillId="17" borderId="0" xfId="0" applyFont="1" applyFill="1"/>
    <xf numFmtId="0" fontId="9" fillId="17" borderId="5" xfId="0" applyFont="1" applyFill="1" applyBorder="1" applyAlignment="1">
      <alignment horizontal="left" vertical="top" wrapText="1"/>
    </xf>
    <xf numFmtId="0" fontId="0" fillId="0" borderId="0" xfId="0" applyBorder="1"/>
    <xf numFmtId="0" fontId="26" fillId="0" borderId="0" xfId="0" applyFont="1" applyAlignment="1">
      <alignment horizontal="left" vertical="center" wrapText="1"/>
    </xf>
    <xf numFmtId="0" fontId="9" fillId="24" borderId="0" xfId="0" applyFont="1" applyFill="1"/>
    <xf numFmtId="0" fontId="0" fillId="24" borderId="0" xfId="0" applyFill="1"/>
    <xf numFmtId="0" fontId="0" fillId="0" borderId="0" xfId="0" applyFill="1"/>
    <xf numFmtId="0" fontId="0" fillId="24" borderId="0" xfId="0" applyFill="1" applyAlignment="1">
      <alignment horizontal="center" vertical="center"/>
    </xf>
    <xf numFmtId="0" fontId="12" fillId="17" borderId="0" xfId="0" applyFont="1" applyFill="1" applyAlignment="1">
      <alignment horizontal="left" vertical="top" wrapText="1"/>
    </xf>
    <xf numFmtId="0" fontId="10" fillId="15" borderId="8" xfId="0" applyFont="1" applyFill="1" applyBorder="1" applyAlignment="1">
      <alignment horizontal="left" vertical="top" wrapText="1"/>
    </xf>
    <xf numFmtId="0" fontId="26" fillId="24" borderId="0" xfId="0" applyFont="1" applyFill="1" applyAlignment="1">
      <alignment horizontal="left" vertical="top" wrapText="1"/>
    </xf>
    <xf numFmtId="0" fontId="26" fillId="24" borderId="0" xfId="0" applyFont="1" applyFill="1" applyAlignment="1">
      <alignment horizontal="left" vertical="center"/>
    </xf>
    <xf numFmtId="0" fontId="26" fillId="24" borderId="0" xfId="0" applyFont="1" applyFill="1" applyAlignment="1">
      <alignment horizontal="left"/>
    </xf>
    <xf numFmtId="0" fontId="0" fillId="17" borderId="0" xfId="0" applyFill="1"/>
    <xf numFmtId="0" fontId="27" fillId="17" borderId="0" xfId="0" applyFont="1" applyFill="1" applyAlignment="1">
      <alignment horizontal="left" vertical="top" wrapText="1"/>
    </xf>
    <xf numFmtId="0" fontId="27" fillId="17" borderId="11" xfId="0" applyFont="1" applyFill="1" applyBorder="1" applyAlignment="1">
      <alignment vertical="center"/>
    </xf>
    <xf numFmtId="0" fontId="11" fillId="17" borderId="0" xfId="0" applyFont="1" applyFill="1"/>
    <xf numFmtId="0" fontId="27" fillId="24" borderId="0" xfId="0" applyFont="1" applyFill="1" applyAlignment="1">
      <alignment horizontal="left" vertical="center"/>
    </xf>
    <xf numFmtId="0" fontId="20" fillId="16" borderId="0" xfId="0" applyFont="1" applyFill="1" applyAlignment="1"/>
    <xf numFmtId="0" fontId="20" fillId="25" borderId="0" xfId="0" applyFont="1" applyFill="1" applyAlignment="1"/>
    <xf numFmtId="0" fontId="11" fillId="0" borderId="0" xfId="0" applyFont="1" applyAlignment="1">
      <alignment horizontal="left" vertical="top" wrapText="1"/>
    </xf>
    <xf numFmtId="0" fontId="9" fillId="0" borderId="0" xfId="0" applyFont="1" applyAlignment="1">
      <alignment horizontal="left" vertical="top" wrapText="1"/>
    </xf>
    <xf numFmtId="0" fontId="9" fillId="0" borderId="0" xfId="0" applyFont="1" applyAlignment="1">
      <alignment wrapText="1"/>
    </xf>
    <xf numFmtId="0" fontId="27" fillId="17" borderId="0" xfId="0" applyFont="1" applyFill="1" applyAlignment="1">
      <alignment wrapText="1"/>
    </xf>
    <xf numFmtId="0" fontId="22" fillId="17" borderId="0" xfId="0" applyFont="1" applyFill="1" applyBorder="1" applyAlignment="1">
      <alignment vertical="center" wrapText="1"/>
    </xf>
    <xf numFmtId="0" fontId="9" fillId="17" borderId="0" xfId="0" applyFont="1" applyFill="1" applyAlignment="1">
      <alignment wrapText="1"/>
    </xf>
    <xf numFmtId="0" fontId="20" fillId="16" borderId="0" xfId="0" applyFont="1" applyFill="1" applyAlignment="1"/>
    <xf numFmtId="0" fontId="19" fillId="16" borderId="0" xfId="0" applyFont="1" applyFill="1" applyAlignment="1">
      <alignment wrapText="1"/>
    </xf>
    <xf numFmtId="0" fontId="0" fillId="0" borderId="0" xfId="0" applyAlignment="1">
      <alignment wrapText="1"/>
    </xf>
    <xf numFmtId="0" fontId="20" fillId="16" borderId="0" xfId="0" applyFont="1" applyFill="1" applyAlignment="1">
      <alignment wrapText="1"/>
    </xf>
    <xf numFmtId="0" fontId="27" fillId="16" borderId="0" xfId="0" applyFont="1" applyFill="1" applyAlignment="1">
      <alignment horizontal="center" vertical="center"/>
    </xf>
    <xf numFmtId="0" fontId="21" fillId="16" borderId="0" xfId="0" applyFont="1" applyFill="1" applyAlignment="1">
      <alignment horizontal="left" vertical="center" wrapText="1"/>
    </xf>
    <xf numFmtId="0" fontId="0" fillId="0" borderId="0" xfId="0" applyAlignment="1"/>
    <xf numFmtId="0" fontId="27" fillId="16" borderId="0" xfId="0" applyFont="1" applyFill="1" applyAlignment="1">
      <alignment horizontal="left" vertical="center" wrapText="1"/>
    </xf>
    <xf numFmtId="0" fontId="21" fillId="16" borderId="0" xfId="0" applyFont="1" applyFill="1" applyAlignment="1">
      <alignment horizontal="left" vertical="center"/>
    </xf>
    <xf numFmtId="0" fontId="20" fillId="25" borderId="0" xfId="0" applyFont="1" applyFill="1" applyAlignment="1"/>
    <xf numFmtId="0" fontId="23" fillId="15" borderId="12" xfId="0" applyFont="1" applyFill="1" applyBorder="1" applyAlignment="1">
      <alignment horizontal="center" vertical="top" wrapText="1"/>
    </xf>
    <xf numFmtId="0" fontId="23" fillId="15" borderId="13" xfId="0" applyFont="1" applyFill="1" applyBorder="1" applyAlignment="1">
      <alignment horizontal="center" vertical="top" wrapText="1"/>
    </xf>
    <xf numFmtId="0" fontId="10" fillId="19" borderId="12" xfId="0" applyFont="1" applyFill="1" applyBorder="1" applyAlignment="1">
      <alignment horizontal="left" vertical="top" wrapText="1" indent="2"/>
    </xf>
    <xf numFmtId="0" fontId="9" fillId="0" borderId="13" xfId="0" applyFont="1" applyBorder="1" applyAlignment="1">
      <alignment horizontal="left" vertical="top" wrapText="1" indent="2"/>
    </xf>
    <xf numFmtId="0" fontId="10" fillId="22" borderId="15" xfId="0" applyFont="1" applyFill="1" applyBorder="1" applyAlignment="1">
      <alignment horizontal="center" vertical="center" wrapText="1"/>
    </xf>
    <xf numFmtId="0" fontId="9" fillId="22" borderId="15" xfId="0" applyFont="1" applyFill="1" applyBorder="1" applyAlignment="1">
      <alignment horizontal="center" vertical="center" wrapText="1"/>
    </xf>
    <xf numFmtId="0" fontId="11" fillId="0" borderId="0" xfId="0" applyFont="1" applyAlignment="1">
      <alignment horizontal="left" vertical="top" wrapText="1"/>
    </xf>
    <xf numFmtId="0" fontId="9" fillId="0" borderId="0" xfId="0" applyFont="1" applyBorder="1" applyAlignment="1">
      <alignment horizontal="center" wrapText="1"/>
    </xf>
    <xf numFmtId="0" fontId="9" fillId="0" borderId="0" xfId="0" applyFont="1" applyBorder="1" applyAlignment="1">
      <alignment horizontal="center"/>
    </xf>
    <xf numFmtId="0" fontId="9" fillId="0" borderId="9" xfId="0" applyFont="1" applyBorder="1" applyAlignment="1">
      <alignment horizontal="center" wrapText="1"/>
    </xf>
    <xf numFmtId="0" fontId="11" fillId="0" borderId="5" xfId="0" applyFont="1" applyBorder="1" applyAlignment="1">
      <alignment horizontal="center" vertical="top"/>
    </xf>
    <xf numFmtId="0" fontId="9" fillId="0" borderId="0" xfId="0" applyFont="1" applyAlignment="1">
      <alignment horizontal="left" vertical="top" wrapText="1"/>
    </xf>
    <xf numFmtId="0" fontId="27" fillId="17" borderId="0" xfId="0" applyFont="1" applyFill="1" applyBorder="1" applyAlignment="1">
      <alignment vertical="center" wrapText="1"/>
    </xf>
    <xf numFmtId="0" fontId="9" fillId="0" borderId="0" xfId="0" applyFont="1" applyAlignment="1">
      <alignment wrapText="1"/>
    </xf>
    <xf numFmtId="0" fontId="27" fillId="17" borderId="0" xfId="0" applyFont="1" applyFill="1" applyAlignment="1">
      <alignment wrapText="1"/>
    </xf>
    <xf numFmtId="0" fontId="11" fillId="0" borderId="5" xfId="0" applyFont="1" applyBorder="1" applyAlignment="1">
      <alignment horizontal="center"/>
    </xf>
    <xf numFmtId="0" fontId="11" fillId="0" borderId="0" xfId="0" applyFont="1" applyFill="1" applyBorder="1" applyAlignment="1">
      <alignment horizontal="center" vertical="center" wrapText="1"/>
    </xf>
    <xf numFmtId="0" fontId="11" fillId="0" borderId="0" xfId="0" applyFont="1" applyFill="1" applyBorder="1" applyAlignment="1">
      <alignment horizontal="center" vertical="center"/>
    </xf>
    <xf numFmtId="0" fontId="9" fillId="2" borderId="0" xfId="0" applyFont="1" applyFill="1" applyAlignment="1"/>
    <xf numFmtId="0" fontId="0" fillId="0" borderId="0" xfId="0" applyFont="1" applyAlignment="1">
      <alignment wrapText="1"/>
    </xf>
    <xf numFmtId="0" fontId="9" fillId="0" borderId="0" xfId="0" quotePrefix="1" applyFont="1" applyAlignment="1">
      <alignment horizontal="left" vertical="top" wrapText="1"/>
    </xf>
    <xf numFmtId="0" fontId="14" fillId="0" borderId="0" xfId="0" applyFont="1" applyAlignment="1">
      <alignment horizontal="left" vertical="top" wrapText="1"/>
    </xf>
    <xf numFmtId="0" fontId="11" fillId="0" borderId="5" xfId="0" applyFont="1" applyBorder="1" applyAlignment="1">
      <alignment horizontal="center" vertical="top" wrapText="1"/>
    </xf>
    <xf numFmtId="0" fontId="11" fillId="0" borderId="5" xfId="0" applyFont="1" applyBorder="1" applyAlignment="1">
      <alignment horizontal="center" wrapText="1"/>
    </xf>
    <xf numFmtId="0" fontId="22" fillId="17" borderId="0" xfId="0" applyFont="1" applyFill="1" applyBorder="1" applyAlignment="1">
      <alignment vertical="center" wrapText="1"/>
    </xf>
    <xf numFmtId="0" fontId="27" fillId="24" borderId="6" xfId="0" applyFont="1" applyFill="1" applyBorder="1" applyAlignment="1">
      <alignment horizontal="center" wrapText="1"/>
    </xf>
    <xf numFmtId="0" fontId="27" fillId="24" borderId="16" xfId="0" applyFont="1" applyFill="1" applyBorder="1" applyAlignment="1">
      <alignment horizontal="center"/>
    </xf>
    <xf numFmtId="0" fontId="27" fillId="24" borderId="7" xfId="0" applyFont="1" applyFill="1" applyBorder="1" applyAlignment="1">
      <alignment horizontal="center"/>
    </xf>
    <xf numFmtId="0" fontId="9" fillId="0" borderId="0" xfId="0" applyFont="1" applyAlignment="1"/>
    <xf numFmtId="0" fontId="27" fillId="0" borderId="0" xfId="0" applyFont="1" applyAlignment="1">
      <alignment wrapText="1"/>
    </xf>
    <xf numFmtId="0" fontId="27" fillId="24" borderId="0" xfId="0" applyFont="1" applyFill="1" applyAlignment="1">
      <alignment horizontal="left" vertical="center" wrapText="1"/>
    </xf>
    <xf numFmtId="0" fontId="27" fillId="0" borderId="0" xfId="0" applyFont="1" applyAlignment="1">
      <alignment horizontal="left" vertical="center" wrapText="1"/>
    </xf>
    <xf numFmtId="0" fontId="3" fillId="11" borderId="0" xfId="0" applyFont="1" applyFill="1" applyBorder="1" applyAlignment="1">
      <alignment vertical="center" wrapText="1"/>
    </xf>
    <xf numFmtId="0" fontId="1" fillId="3" borderId="1" xfId="0" applyFont="1" applyFill="1" applyBorder="1" applyAlignment="1">
      <alignment vertical="center"/>
    </xf>
    <xf numFmtId="0" fontId="26" fillId="24" borderId="0" xfId="0" applyFont="1" applyFill="1" applyAlignment="1">
      <alignment horizontal="left" vertical="center" wrapText="1"/>
    </xf>
    <xf numFmtId="0" fontId="0" fillId="0" borderId="0" xfId="0" applyAlignment="1">
      <alignment horizontal="left" vertical="center" wrapText="1"/>
    </xf>
    <xf numFmtId="0" fontId="11" fillId="17" borderId="0" xfId="0" applyFont="1" applyFill="1" applyAlignment="1">
      <alignment horizontal="left" vertical="top" wrapText="1"/>
    </xf>
    <xf numFmtId="0" fontId="0" fillId="17" borderId="0" xfId="0" applyFill="1" applyAlignment="1">
      <alignment wrapText="1"/>
    </xf>
    <xf numFmtId="0" fontId="9" fillId="17" borderId="0" xfId="0" applyFont="1" applyFill="1" applyAlignment="1">
      <alignment wrapText="1"/>
    </xf>
    <xf numFmtId="0" fontId="9" fillId="24" borderId="0" xfId="0" applyFont="1" applyFill="1" applyAlignment="1">
      <alignment horizontal="center"/>
    </xf>
    <xf numFmtId="0" fontId="11" fillId="24" borderId="10" xfId="0" applyFont="1" applyFill="1" applyBorder="1" applyAlignment="1">
      <alignment horizontal="left" vertical="center" wrapText="1"/>
    </xf>
    <xf numFmtId="0" fontId="5" fillId="4"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0" fillId="24" borderId="0" xfId="0" applyFill="1" applyAlignment="1">
      <alignment horizontal="center"/>
    </xf>
    <xf numFmtId="0" fontId="11" fillId="24" borderId="0" xfId="0" applyFont="1" applyFill="1" applyAlignment="1">
      <alignment horizontal="left" vertical="center" wrapText="1"/>
    </xf>
  </cellXfs>
  <cellStyles count="7">
    <cellStyle name="Normal" xfId="0" builtinId="0"/>
    <cellStyle name="Normal 17" xfId="3" xr:uid="{6A8D8983-74A4-4F93-836F-3C92C01595FA}"/>
    <cellStyle name="Normal 5" xfId="4" xr:uid="{3CC50CA4-100E-4771-89AD-80D641B908BD}"/>
    <cellStyle name="Normal 6" xfId="5" xr:uid="{0F05A855-1C85-4621-AB60-3D585B049E4D}"/>
    <cellStyle name="Normal 7" xfId="6" xr:uid="{5DBC5CA9-BA68-44A5-8FB7-1B9034AD883C}"/>
    <cellStyle name="Normal_IT Towers-Cost Pool" xfId="1" xr:uid="{E7786EA3-F1B9-4D83-8A3D-BBCD9ED4D02F}"/>
    <cellStyle name="Normal_Sheet2" xfId="2" xr:uid="{0AF14A52-2F4A-41B7-815C-BA20D766D35A}"/>
  </cellStyles>
  <dxfs count="7">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7.png"/><Relationship Id="rId7" Type="http://schemas.openxmlformats.org/officeDocument/2006/relationships/image" Target="../media/image11.jp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193674</xdr:rowOff>
    </xdr:from>
    <xdr:to>
      <xdr:col>10</xdr:col>
      <xdr:colOff>265310</xdr:colOff>
      <xdr:row>9</xdr:row>
      <xdr:rowOff>83029</xdr:rowOff>
    </xdr:to>
    <xdr:pic>
      <xdr:nvPicPr>
        <xdr:cNvPr id="3" name="Picture 2">
          <a:extLst>
            <a:ext uri="{FF2B5EF4-FFF2-40B4-BE49-F238E27FC236}">
              <a16:creationId xmlns:a16="http://schemas.microsoft.com/office/drawing/2014/main" id="{4942181B-73A6-4FCC-80E6-4044AB7319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666749"/>
          <a:ext cx="3726060" cy="12038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18597</xdr:colOff>
      <xdr:row>0</xdr:row>
      <xdr:rowOff>90714</xdr:rowOff>
    </xdr:from>
    <xdr:to>
      <xdr:col>0</xdr:col>
      <xdr:colOff>2317337</xdr:colOff>
      <xdr:row>1</xdr:row>
      <xdr:rowOff>545191</xdr:rowOff>
    </xdr:to>
    <xdr:pic>
      <xdr:nvPicPr>
        <xdr:cNvPr id="3" name="Picture 2">
          <a:extLst>
            <a:ext uri="{FF2B5EF4-FFF2-40B4-BE49-F238E27FC236}">
              <a16:creationId xmlns:a16="http://schemas.microsoft.com/office/drawing/2014/main" id="{6EBB017B-8A34-4465-8FF9-CD112A4278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0133" y="90714"/>
          <a:ext cx="2298740" cy="7498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1</xdr:row>
      <xdr:rowOff>0</xdr:rowOff>
    </xdr:from>
    <xdr:to>
      <xdr:col>0</xdr:col>
      <xdr:colOff>2308265</xdr:colOff>
      <xdr:row>1</xdr:row>
      <xdr:rowOff>753042</xdr:rowOff>
    </xdr:to>
    <xdr:pic>
      <xdr:nvPicPr>
        <xdr:cNvPr id="3" name="Picture 2">
          <a:extLst>
            <a:ext uri="{FF2B5EF4-FFF2-40B4-BE49-F238E27FC236}">
              <a16:creationId xmlns:a16="http://schemas.microsoft.com/office/drawing/2014/main" id="{397699C1-671F-44BA-84AB-27E87FFC85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5" y="187325"/>
          <a:ext cx="2298740" cy="75530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2298391</xdr:colOff>
      <xdr:row>1</xdr:row>
      <xdr:rowOff>752791</xdr:rowOff>
    </xdr:to>
    <xdr:pic>
      <xdr:nvPicPr>
        <xdr:cNvPr id="3" name="Picture 2">
          <a:extLst>
            <a:ext uri="{FF2B5EF4-FFF2-40B4-BE49-F238E27FC236}">
              <a16:creationId xmlns:a16="http://schemas.microsoft.com/office/drawing/2014/main" id="{2CCA698A-8441-49E1-9959-1B64AC84DE85}"/>
            </a:ext>
          </a:extLst>
        </xdr:cNvPr>
        <xdr:cNvPicPr>
          <a:picLocks noChangeAspect="1"/>
        </xdr:cNvPicPr>
      </xdr:nvPicPr>
      <xdr:blipFill>
        <a:blip xmlns:r="http://schemas.openxmlformats.org/officeDocument/2006/relationships" r:embed="rId1"/>
        <a:stretch>
          <a:fillRect/>
        </a:stretch>
      </xdr:blipFill>
      <xdr:spPr>
        <a:xfrm>
          <a:off x="0" y="186972"/>
          <a:ext cx="2298391" cy="76816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2298391</xdr:colOff>
      <xdr:row>1</xdr:row>
      <xdr:rowOff>557756</xdr:rowOff>
    </xdr:to>
    <xdr:pic>
      <xdr:nvPicPr>
        <xdr:cNvPr id="4" name="Picture 3">
          <a:extLst>
            <a:ext uri="{FF2B5EF4-FFF2-40B4-BE49-F238E27FC236}">
              <a16:creationId xmlns:a16="http://schemas.microsoft.com/office/drawing/2014/main" id="{270B93F1-9E14-4A81-9169-F7C23B021A01}"/>
            </a:ext>
          </a:extLst>
        </xdr:cNvPr>
        <xdr:cNvPicPr>
          <a:picLocks noChangeAspect="1"/>
        </xdr:cNvPicPr>
      </xdr:nvPicPr>
      <xdr:blipFill>
        <a:blip xmlns:r="http://schemas.openxmlformats.org/officeDocument/2006/relationships" r:embed="rId1"/>
        <a:stretch>
          <a:fillRect/>
        </a:stretch>
      </xdr:blipFill>
      <xdr:spPr>
        <a:xfrm>
          <a:off x="0" y="0"/>
          <a:ext cx="2298391" cy="76816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2298391</xdr:colOff>
      <xdr:row>1</xdr:row>
      <xdr:rowOff>752791</xdr:rowOff>
    </xdr:to>
    <xdr:pic>
      <xdr:nvPicPr>
        <xdr:cNvPr id="3" name="Picture 2">
          <a:extLst>
            <a:ext uri="{FF2B5EF4-FFF2-40B4-BE49-F238E27FC236}">
              <a16:creationId xmlns:a16="http://schemas.microsoft.com/office/drawing/2014/main" id="{D34594D4-B5D8-44A0-B5E7-A412CDD8CB89}"/>
            </a:ext>
          </a:extLst>
        </xdr:cNvPr>
        <xdr:cNvPicPr>
          <a:picLocks noChangeAspect="1"/>
        </xdr:cNvPicPr>
      </xdr:nvPicPr>
      <xdr:blipFill>
        <a:blip xmlns:r="http://schemas.openxmlformats.org/officeDocument/2006/relationships" r:embed="rId1"/>
        <a:stretch>
          <a:fillRect/>
        </a:stretch>
      </xdr:blipFill>
      <xdr:spPr>
        <a:xfrm>
          <a:off x="0" y="186972"/>
          <a:ext cx="2298391" cy="76816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8</xdr:row>
      <xdr:rowOff>0</xdr:rowOff>
    </xdr:from>
    <xdr:to>
      <xdr:col>15</xdr:col>
      <xdr:colOff>370551</xdr:colOff>
      <xdr:row>37</xdr:row>
      <xdr:rowOff>77772</xdr:rowOff>
    </xdr:to>
    <xdr:grpSp>
      <xdr:nvGrpSpPr>
        <xdr:cNvPr id="2" name="Group 1">
          <a:extLst>
            <a:ext uri="{FF2B5EF4-FFF2-40B4-BE49-F238E27FC236}">
              <a16:creationId xmlns:a16="http://schemas.microsoft.com/office/drawing/2014/main" id="{B18C48A2-582E-4731-9F38-EFA883965A45}"/>
            </a:ext>
          </a:extLst>
        </xdr:cNvPr>
        <xdr:cNvGrpSpPr/>
      </xdr:nvGrpSpPr>
      <xdr:grpSpPr>
        <a:xfrm>
          <a:off x="404813" y="3036094"/>
          <a:ext cx="8871613" cy="5602272"/>
          <a:chOff x="169944" y="1332689"/>
          <a:chExt cx="8904951" cy="5510197"/>
        </a:xfrm>
      </xdr:grpSpPr>
      <xdr:grpSp>
        <xdr:nvGrpSpPr>
          <xdr:cNvPr id="3" name="Group 2">
            <a:extLst>
              <a:ext uri="{FF2B5EF4-FFF2-40B4-BE49-F238E27FC236}">
                <a16:creationId xmlns:a16="http://schemas.microsoft.com/office/drawing/2014/main" id="{EC2D6457-1167-43BB-830F-6461475776CF}"/>
              </a:ext>
            </a:extLst>
          </xdr:cNvPr>
          <xdr:cNvGrpSpPr/>
        </xdr:nvGrpSpPr>
        <xdr:grpSpPr>
          <a:xfrm>
            <a:off x="169944" y="1332689"/>
            <a:ext cx="8904951" cy="5510197"/>
            <a:chOff x="5515" y="969978"/>
            <a:chExt cx="8904951" cy="5510197"/>
          </a:xfrm>
        </xdr:grpSpPr>
        <xdr:sp macro="" textlink="">
          <xdr:nvSpPr>
            <xdr:cNvPr id="5" name="Rectangle 4">
              <a:extLst>
                <a:ext uri="{FF2B5EF4-FFF2-40B4-BE49-F238E27FC236}">
                  <a16:creationId xmlns:a16="http://schemas.microsoft.com/office/drawing/2014/main" id="{BF56EEC5-9CD2-4783-B3DA-6F364DBAB46D}"/>
                </a:ext>
              </a:extLst>
            </xdr:cNvPr>
            <xdr:cNvSpPr/>
          </xdr:nvSpPr>
          <xdr:spPr>
            <a:xfrm>
              <a:off x="659964" y="2976878"/>
              <a:ext cx="210342" cy="2705233"/>
            </a:xfrm>
            <a:prstGeom prst="rect">
              <a:avLst/>
            </a:prstGeom>
            <a:solidFill>
              <a:srgbClr val="B4BA76"/>
            </a:solidFill>
            <a:ln w="12700" cap="flat" cmpd="sng" algn="ctr">
              <a:solidFill>
                <a:srgbClr val="B4BA76"/>
              </a:solidFill>
              <a:prstDash val="solid"/>
              <a:miter lim="800000"/>
            </a:ln>
            <a:effectLst/>
          </xdr:spPr>
          <xdr:txBody>
            <a:bodyPr vert="vert270"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100" b="1" kern="0">
                  <a:solidFill>
                    <a:prstClr val="black"/>
                  </a:solidFill>
                  <a:sym typeface="Arial"/>
                  <a:rtl val="0"/>
                </a:rPr>
                <a:t>PaaS</a:t>
              </a:r>
            </a:p>
          </xdr:txBody>
        </xdr:sp>
        <xdr:sp macro="" textlink="">
          <xdr:nvSpPr>
            <xdr:cNvPr id="6" name="TextBox 48">
              <a:extLst>
                <a:ext uri="{FF2B5EF4-FFF2-40B4-BE49-F238E27FC236}">
                  <a16:creationId xmlns:a16="http://schemas.microsoft.com/office/drawing/2014/main" id="{69E5B91B-4419-469E-B8DF-3F105A86083B}"/>
                </a:ext>
              </a:extLst>
            </xdr:cNvPr>
            <xdr:cNvSpPr txBox="1"/>
          </xdr:nvSpPr>
          <xdr:spPr>
            <a:xfrm>
              <a:off x="4377818" y="1201562"/>
              <a:ext cx="2184886" cy="233944"/>
            </a:xfrm>
            <a:prstGeom prst="rect">
              <a:avLst/>
            </a:prstGeom>
            <a:solidFill>
              <a:srgbClr val="C1CD23"/>
            </a:solidFill>
            <a:effectLst>
              <a:outerShdw blurRad="50800" dist="38100" dir="5400000" algn="t" rotWithShape="0">
                <a:prstClr val="black">
                  <a:alpha val="40000"/>
                </a:prstClr>
              </a:outerShdw>
            </a:effectLst>
          </xdr:spPr>
          <xdr:txBody>
            <a:bodyPr wrap="square" rtlCol="0" anchor="ctr"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kern="0">
                  <a:solidFill>
                    <a:prstClr val="white"/>
                  </a:solidFill>
                  <a:effectLst>
                    <a:outerShdw blurRad="38100" dist="38100" dir="2700000" algn="tl">
                      <a:srgbClr val="000000">
                        <a:alpha val="43137"/>
                      </a:srgbClr>
                    </a:outerShdw>
                  </a:effectLst>
                  <a:latin typeface="Arial"/>
                  <a:cs typeface="Arial"/>
                  <a:sym typeface="Arial"/>
                  <a:rtl val="0"/>
                </a:rPr>
                <a:t>Workforce</a:t>
              </a:r>
            </a:p>
          </xdr:txBody>
        </xdr:sp>
        <xdr:sp macro="" textlink="">
          <xdr:nvSpPr>
            <xdr:cNvPr id="7" name="TextBox 49">
              <a:extLst>
                <a:ext uri="{FF2B5EF4-FFF2-40B4-BE49-F238E27FC236}">
                  <a16:creationId xmlns:a16="http://schemas.microsoft.com/office/drawing/2014/main" id="{72E463B8-565A-43C6-B1CB-33D0DF500F1E}"/>
                </a:ext>
              </a:extLst>
            </xdr:cNvPr>
            <xdr:cNvSpPr txBox="1"/>
          </xdr:nvSpPr>
          <xdr:spPr>
            <a:xfrm>
              <a:off x="6574493" y="1201016"/>
              <a:ext cx="2335069" cy="224663"/>
            </a:xfrm>
            <a:prstGeom prst="rect">
              <a:avLst/>
            </a:prstGeom>
            <a:solidFill>
              <a:srgbClr val="C1CD23"/>
            </a:solidFill>
            <a:effectLst>
              <a:outerShdw blurRad="50800" dist="38100" dir="5400000" algn="t" rotWithShape="0">
                <a:prstClr val="black">
                  <a:alpha val="40000"/>
                </a:prstClr>
              </a:outerShdw>
            </a:effectLst>
          </xdr:spPr>
          <xdr:txBody>
            <a:bodyPr wrap="square" rtlCol="0" anchor="ctr"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kern="0">
                  <a:solidFill>
                    <a:prstClr val="white"/>
                  </a:solidFill>
                  <a:effectLst>
                    <a:outerShdw blurRad="38100" dist="38100" dir="2700000" algn="tl">
                      <a:srgbClr val="000000">
                        <a:alpha val="43137"/>
                      </a:srgbClr>
                    </a:outerShdw>
                  </a:effectLst>
                  <a:latin typeface="Arial"/>
                  <a:cs typeface="Arial"/>
                  <a:sym typeface="Arial"/>
                  <a:rtl val="0"/>
                </a:rPr>
                <a:t>Advisory</a:t>
              </a:r>
            </a:p>
          </xdr:txBody>
        </xdr:sp>
        <xdr:sp macro="" textlink="">
          <xdr:nvSpPr>
            <xdr:cNvPr id="8" name="TextBox 50">
              <a:extLst>
                <a:ext uri="{FF2B5EF4-FFF2-40B4-BE49-F238E27FC236}">
                  <a16:creationId xmlns:a16="http://schemas.microsoft.com/office/drawing/2014/main" id="{3D6709CB-85C0-47A0-B62C-1C13AFF433D0}"/>
                </a:ext>
              </a:extLst>
            </xdr:cNvPr>
            <xdr:cNvSpPr txBox="1"/>
          </xdr:nvSpPr>
          <xdr:spPr>
            <a:xfrm>
              <a:off x="2044696" y="1200322"/>
              <a:ext cx="2321333" cy="223554"/>
            </a:xfrm>
            <a:prstGeom prst="rect">
              <a:avLst/>
            </a:prstGeom>
            <a:solidFill>
              <a:srgbClr val="C1CD23"/>
            </a:solidFill>
            <a:effectLst>
              <a:outerShdw blurRad="50800" dist="38100" dir="5400000" algn="t" rotWithShape="0">
                <a:prstClr val="black">
                  <a:alpha val="40000"/>
                </a:prstClr>
              </a:outerShdw>
            </a:effectLst>
          </xdr:spPr>
          <xdr:txBody>
            <a:bodyPr wrap="square" rtlCol="0" anchor="ctr"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kern="0">
                  <a:solidFill>
                    <a:prstClr val="white"/>
                  </a:solidFill>
                  <a:effectLst>
                    <a:outerShdw blurRad="38100" dist="38100" dir="2700000" algn="tl">
                      <a:srgbClr val="000000">
                        <a:alpha val="43137"/>
                      </a:srgbClr>
                    </a:outerShdw>
                  </a:effectLst>
                  <a:latin typeface="Arial"/>
                  <a:cs typeface="Arial"/>
                  <a:sym typeface="Arial"/>
                  <a:rtl val="0"/>
                </a:rPr>
                <a:t>Technology</a:t>
              </a:r>
            </a:p>
          </xdr:txBody>
        </xdr:sp>
        <xdr:sp macro="" textlink="">
          <xdr:nvSpPr>
            <xdr:cNvPr id="9" name="Rectangle 8">
              <a:extLst>
                <a:ext uri="{FF2B5EF4-FFF2-40B4-BE49-F238E27FC236}">
                  <a16:creationId xmlns:a16="http://schemas.microsoft.com/office/drawing/2014/main" id="{A5FB7B90-A1C4-4C75-8F9B-6BD58165203B}"/>
                </a:ext>
              </a:extLst>
            </xdr:cNvPr>
            <xdr:cNvSpPr/>
          </xdr:nvSpPr>
          <xdr:spPr>
            <a:xfrm>
              <a:off x="2044696" y="1504351"/>
              <a:ext cx="6865770" cy="629981"/>
            </a:xfrm>
            <a:prstGeom prst="rect">
              <a:avLst/>
            </a:prstGeom>
            <a:solidFill>
              <a:srgbClr val="005B94"/>
            </a:solidFill>
            <a:ln w="12700" cap="flat" cmpd="sng" algn="ctr">
              <a:noFill/>
              <a:prstDash val="solid"/>
              <a:miter lim="800000"/>
            </a:ln>
            <a:effectLst/>
          </xdr:spPr>
          <xdr:txBody>
            <a:bodyPr wrap="square" tIns="91440" bIns="9144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rgbClr val="FFFFCC"/>
                  </a:solidFill>
                </a:rPr>
                <a:t>Business Functional and Analytics Support</a:t>
              </a:r>
            </a:p>
            <a:p>
              <a:r>
                <a:rPr lang="en-US" sz="1000" kern="0">
                  <a:solidFill>
                    <a:prstClr val="white"/>
                  </a:solidFill>
                  <a:latin typeface="+mn-lt"/>
                  <a:sym typeface="Arial"/>
                  <a:rtl val="0"/>
                </a:rPr>
                <a:t>Specialized services such as guidance on regulations, policies and processes pertaining to specific business functions; business operations audit and internal controls support; business operations/performance reporting and analyses</a:t>
              </a:r>
            </a:p>
          </xdr:txBody>
        </xdr:sp>
        <xdr:sp macro="" textlink="">
          <xdr:nvSpPr>
            <xdr:cNvPr id="10" name="Rectangle 9">
              <a:extLst>
                <a:ext uri="{FF2B5EF4-FFF2-40B4-BE49-F238E27FC236}">
                  <a16:creationId xmlns:a16="http://schemas.microsoft.com/office/drawing/2014/main" id="{C4D9F027-03E3-4961-9E03-8995D4B6AEBC}"/>
                </a:ext>
              </a:extLst>
            </xdr:cNvPr>
            <xdr:cNvSpPr/>
          </xdr:nvSpPr>
          <xdr:spPr>
            <a:xfrm>
              <a:off x="2044696" y="2160155"/>
              <a:ext cx="6865769" cy="487494"/>
            </a:xfrm>
            <a:prstGeom prst="rect">
              <a:avLst/>
            </a:prstGeom>
            <a:solidFill>
              <a:srgbClr val="005B94"/>
            </a:solidFill>
            <a:ln w="12700" cap="flat" cmpd="sng" algn="ctr">
              <a:noFill/>
              <a:prstDash val="solid"/>
              <a:miter lim="800000"/>
            </a:ln>
            <a:effectLst/>
          </xdr:spPr>
          <xdr:txBody>
            <a:bodyPr wrap="square" tIns="91440" bIns="9144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rgbClr val="FFFFCC"/>
                  </a:solidFill>
                </a:rPr>
                <a:t>Business Transaction/Information Processing Support</a:t>
              </a:r>
            </a:p>
            <a:p>
              <a:r>
                <a:rPr lang="en-US" sz="1000" kern="0">
                  <a:solidFill>
                    <a:prstClr val="white"/>
                  </a:solidFill>
                  <a:latin typeface="+mn-lt"/>
                  <a:sym typeface="Arial"/>
                  <a:rtl val="0"/>
                </a:rPr>
                <a:t>Manual and automated processing of government business transactions</a:t>
              </a:r>
              <a:r>
                <a:rPr lang="en-US" sz="1050" kern="0">
                  <a:solidFill>
                    <a:prstClr val="white"/>
                  </a:solidFill>
                  <a:latin typeface="+mn-lt"/>
                  <a:sym typeface="Arial"/>
                  <a:rtl val="0"/>
                </a:rPr>
                <a:t>; pre-processing of documents and data</a:t>
              </a:r>
              <a:endParaRPr lang="en-US" sz="1050" kern="0">
                <a:solidFill>
                  <a:prstClr val="white"/>
                </a:solidFill>
                <a:sym typeface="Arial"/>
                <a:rtl val="0"/>
              </a:endParaRPr>
            </a:p>
          </xdr:txBody>
        </xdr:sp>
        <xdr:sp macro="" textlink="">
          <xdr:nvSpPr>
            <xdr:cNvPr id="11" name="Rectangle 10">
              <a:extLst>
                <a:ext uri="{FF2B5EF4-FFF2-40B4-BE49-F238E27FC236}">
                  <a16:creationId xmlns:a16="http://schemas.microsoft.com/office/drawing/2014/main" id="{24614E6F-202A-4B9D-BA19-B9AC8ADC9284}"/>
                </a:ext>
              </a:extLst>
            </xdr:cNvPr>
            <xdr:cNvSpPr/>
          </xdr:nvSpPr>
          <xdr:spPr>
            <a:xfrm>
              <a:off x="2044696" y="2673472"/>
              <a:ext cx="6865767" cy="542371"/>
            </a:xfrm>
            <a:prstGeom prst="rect">
              <a:avLst/>
            </a:prstGeom>
            <a:solidFill>
              <a:srgbClr val="005B94"/>
            </a:solidFill>
            <a:ln w="12700" cap="flat" cmpd="sng" algn="ctr">
              <a:noFill/>
              <a:prstDash val="solid"/>
              <a:miter lim="800000"/>
            </a:ln>
            <a:effectLst/>
          </xdr:spPr>
          <xdr:txBody>
            <a:bodyPr wrap="square" tIns="91440" bIns="9144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rgbClr val="FFFFCC"/>
                  </a:solidFill>
                </a:rPr>
                <a:t>Business Application Support</a:t>
              </a:r>
            </a:p>
            <a:p>
              <a:r>
                <a:rPr lang="en-US" sz="1000" kern="0">
                  <a:solidFill>
                    <a:prstClr val="white"/>
                  </a:solidFill>
                  <a:latin typeface="+mn-lt"/>
                  <a:sym typeface="Arial"/>
                  <a:rtl val="0"/>
                </a:rPr>
                <a:t>Monitoring business application operations for faults and performance</a:t>
              </a:r>
              <a:r>
                <a:rPr lang="en-US" sz="1000" kern="0">
                  <a:solidFill>
                    <a:prstClr val="white"/>
                  </a:solidFill>
                  <a:sym typeface="Arial"/>
                  <a:rtl val="0"/>
                </a:rPr>
                <a:t>; business </a:t>
              </a:r>
              <a:r>
                <a:rPr lang="en-US" sz="1000" kern="0">
                  <a:solidFill>
                    <a:prstClr val="white"/>
                  </a:solidFill>
                  <a:latin typeface="+mn-lt"/>
                  <a:sym typeface="Arial"/>
                  <a:rtl val="0"/>
                </a:rPr>
                <a:t>application training; business application </a:t>
              </a:r>
              <a:r>
                <a:rPr lang="en-US" sz="1000" kern="0">
                  <a:solidFill>
                    <a:prstClr val="white"/>
                  </a:solidFill>
                  <a:sym typeface="Arial"/>
                  <a:rtl val="0"/>
                </a:rPr>
                <a:t>information</a:t>
              </a:r>
              <a:r>
                <a:rPr lang="en-US" sz="1000" kern="0">
                  <a:solidFill>
                    <a:prstClr val="white"/>
                  </a:solidFill>
                  <a:latin typeface="+mn-lt"/>
                  <a:sym typeface="Arial"/>
                  <a:rtl val="0"/>
                </a:rPr>
                <a:t> access and report generation support</a:t>
              </a:r>
              <a:r>
                <a:rPr lang="en-US" sz="1000" kern="0">
                  <a:solidFill>
                    <a:prstClr val="white"/>
                  </a:solidFill>
                  <a:sym typeface="Arial"/>
                  <a:rtl val="0"/>
                </a:rPr>
                <a:t>; service desk support</a:t>
              </a:r>
              <a:endParaRPr lang="en-US" sz="1000" kern="0">
                <a:solidFill>
                  <a:prstClr val="white"/>
                </a:solidFill>
                <a:latin typeface="+mn-lt"/>
                <a:sym typeface="Arial"/>
                <a:rtl val="0"/>
              </a:endParaRPr>
            </a:p>
          </xdr:txBody>
        </xdr:sp>
        <xdr:sp macro="" textlink="">
          <xdr:nvSpPr>
            <xdr:cNvPr id="12" name="Rectangle 11">
              <a:extLst>
                <a:ext uri="{FF2B5EF4-FFF2-40B4-BE49-F238E27FC236}">
                  <a16:creationId xmlns:a16="http://schemas.microsoft.com/office/drawing/2014/main" id="{B9A622C9-F239-4E6D-B2B6-E4CAAAAD8F69}"/>
                </a:ext>
              </a:extLst>
            </xdr:cNvPr>
            <xdr:cNvSpPr/>
          </xdr:nvSpPr>
          <xdr:spPr>
            <a:xfrm>
              <a:off x="2044696" y="3241666"/>
              <a:ext cx="6865769" cy="613766"/>
            </a:xfrm>
            <a:prstGeom prst="rect">
              <a:avLst/>
            </a:prstGeom>
            <a:solidFill>
              <a:srgbClr val="005B94"/>
            </a:solidFill>
            <a:ln w="12700" cap="flat" cmpd="sng" algn="ctr">
              <a:noFill/>
              <a:prstDash val="solid"/>
              <a:miter lim="800000"/>
            </a:ln>
            <a:effectLst/>
          </xdr:spPr>
          <xdr:txBody>
            <a:bodyPr wrap="square" tIns="91440" bIns="9144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rgbClr val="FFFFCC"/>
                  </a:solidFill>
                </a:rPr>
                <a:t>Data/Content Management</a:t>
              </a:r>
            </a:p>
            <a:p>
              <a:r>
                <a:rPr lang="en-US" sz="1000">
                  <a:solidFill>
                    <a:prstClr val="white"/>
                  </a:solidFill>
                  <a:latin typeface="+mn-lt"/>
                </a:rPr>
                <a:t>Databases/repositories to store and manage system/user data and user-generated electronic content (e.g., documents, reports).  Includes</a:t>
              </a:r>
              <a:r>
                <a:rPr lang="en-US" sz="1000">
                  <a:solidFill>
                    <a:prstClr val="white"/>
                  </a:solidFill>
                </a:rPr>
                <a:t> </a:t>
              </a:r>
              <a:r>
                <a:rPr lang="en-US" sz="1000">
                  <a:solidFill>
                    <a:prstClr val="white"/>
                  </a:solidFill>
                  <a:latin typeface="+mn-lt"/>
                </a:rPr>
                <a:t>backup and restore capabilities, adherence to data/content retention and archiving policies, and the creation/maintenance of data management artifacts</a:t>
              </a:r>
              <a:r>
                <a:rPr lang="en-US" sz="1000">
                  <a:solidFill>
                    <a:prstClr val="white"/>
                  </a:solidFill>
                </a:rPr>
                <a:t> and</a:t>
              </a:r>
              <a:r>
                <a:rPr lang="en-US" sz="1000">
                  <a:solidFill>
                    <a:prstClr val="white"/>
                  </a:solidFill>
                  <a:latin typeface="+mn-lt"/>
                </a:rPr>
                <a:t> models and master reference data</a:t>
              </a:r>
            </a:p>
          </xdr:txBody>
        </xdr:sp>
        <xdr:sp macro="" textlink="">
          <xdr:nvSpPr>
            <xdr:cNvPr id="13" name="Rectangle 12">
              <a:extLst>
                <a:ext uri="{FF2B5EF4-FFF2-40B4-BE49-F238E27FC236}">
                  <a16:creationId xmlns:a16="http://schemas.microsoft.com/office/drawing/2014/main" id="{DD26FC43-6A29-4CDA-A49E-EE6F71A4E84B}"/>
                </a:ext>
              </a:extLst>
            </xdr:cNvPr>
            <xdr:cNvSpPr/>
          </xdr:nvSpPr>
          <xdr:spPr>
            <a:xfrm>
              <a:off x="2044696" y="3881255"/>
              <a:ext cx="6865769" cy="594360"/>
            </a:xfrm>
            <a:prstGeom prst="rect">
              <a:avLst/>
            </a:prstGeom>
            <a:solidFill>
              <a:srgbClr val="005B94"/>
            </a:solidFill>
            <a:ln w="12700" cap="flat" cmpd="sng" algn="ctr">
              <a:noFill/>
              <a:prstDash val="solid"/>
              <a:miter lim="800000"/>
            </a:ln>
            <a:effectLst/>
          </xdr:spPr>
          <xdr:txBody>
            <a:bodyPr wrap="square" tIns="91440" bIns="9144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rgbClr val="FFFFCC"/>
                  </a:solidFill>
                </a:rPr>
                <a:t>Software Management</a:t>
              </a:r>
            </a:p>
            <a:p>
              <a:r>
                <a:rPr lang="en-US" sz="1000" kern="0">
                  <a:solidFill>
                    <a:prstClr val="white"/>
                  </a:solidFill>
                  <a:latin typeface="+mn-lt"/>
                  <a:sym typeface="Arial"/>
                  <a:rtl val="0"/>
                </a:rPr>
                <a:t>Setup, configuration, optimization, maintenance, and license management of business application and enterprise/middleware software. </a:t>
              </a:r>
              <a:r>
                <a:rPr lang="en-US" sz="1000" kern="0">
                  <a:solidFill>
                    <a:prstClr val="white"/>
                  </a:solidFill>
                  <a:sym typeface="Arial"/>
                  <a:rtl val="0"/>
                </a:rPr>
                <a:t>I</a:t>
              </a:r>
              <a:r>
                <a:rPr lang="en-US" sz="1000" kern="0">
                  <a:solidFill>
                    <a:prstClr val="white"/>
                  </a:solidFill>
                  <a:latin typeface="+mn-lt"/>
                  <a:sym typeface="Arial"/>
                  <a:rtl val="0"/>
                </a:rPr>
                <a:t>ncludes development, testing, deployment, and maintenance of software enhancements, extensions and/or custom code</a:t>
              </a:r>
            </a:p>
          </xdr:txBody>
        </xdr:sp>
        <xdr:sp macro="" textlink="">
          <xdr:nvSpPr>
            <xdr:cNvPr id="14" name="Rectangle 13">
              <a:extLst>
                <a:ext uri="{FF2B5EF4-FFF2-40B4-BE49-F238E27FC236}">
                  <a16:creationId xmlns:a16="http://schemas.microsoft.com/office/drawing/2014/main" id="{F034F107-3B51-4E7D-BC7B-D6855ACFAAFB}"/>
                </a:ext>
              </a:extLst>
            </xdr:cNvPr>
            <xdr:cNvSpPr/>
          </xdr:nvSpPr>
          <xdr:spPr>
            <a:xfrm>
              <a:off x="2044696" y="4501438"/>
              <a:ext cx="6865769" cy="509416"/>
            </a:xfrm>
            <a:prstGeom prst="rect">
              <a:avLst/>
            </a:prstGeom>
            <a:solidFill>
              <a:srgbClr val="005B94"/>
            </a:solidFill>
            <a:ln w="12700" cap="flat" cmpd="sng" algn="ctr">
              <a:noFill/>
              <a:prstDash val="solid"/>
              <a:miter lim="800000"/>
            </a:ln>
            <a:effectLst/>
          </xdr:spPr>
          <xdr:txBody>
            <a:bodyPr wrap="square" tIns="91440" bIns="9144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rgbClr val="FFFFCC"/>
                  </a:solidFill>
                </a:rPr>
                <a:t>Hardware/OS/Storage Management</a:t>
              </a:r>
            </a:p>
            <a:p>
              <a:r>
                <a:rPr lang="en-US" sz="1000">
                  <a:solidFill>
                    <a:schemeClr val="bg1"/>
                  </a:solidFill>
                </a:rPr>
                <a:t>Computing h</a:t>
              </a:r>
              <a:r>
                <a:rPr lang="en-US" sz="1000">
                  <a:solidFill>
                    <a:schemeClr val="bg1"/>
                  </a:solidFill>
                  <a:latin typeface="+mn-lt"/>
                </a:rPr>
                <a:t>ardware, operating systems, storage and peripheral devices, and associated administration and fault and performance monitoring software needed to host, manage and operate systems</a:t>
              </a:r>
            </a:p>
          </xdr:txBody>
        </xdr:sp>
        <xdr:sp macro="" textlink="">
          <xdr:nvSpPr>
            <xdr:cNvPr id="15" name="Rectangle 14">
              <a:extLst>
                <a:ext uri="{FF2B5EF4-FFF2-40B4-BE49-F238E27FC236}">
                  <a16:creationId xmlns:a16="http://schemas.microsoft.com/office/drawing/2014/main" id="{6AC34CC7-7E39-4831-85BF-ECDF37AB81CB}"/>
                </a:ext>
              </a:extLst>
            </xdr:cNvPr>
            <xdr:cNvSpPr/>
          </xdr:nvSpPr>
          <xdr:spPr>
            <a:xfrm>
              <a:off x="2036543" y="5036679"/>
              <a:ext cx="6862968" cy="615335"/>
            </a:xfrm>
            <a:prstGeom prst="rect">
              <a:avLst/>
            </a:prstGeom>
            <a:solidFill>
              <a:srgbClr val="005B94"/>
            </a:solidFill>
            <a:ln w="12700" cap="flat" cmpd="sng" algn="ctr">
              <a:noFill/>
              <a:prstDash val="solid"/>
              <a:miter lim="800000"/>
            </a:ln>
            <a:effectLst/>
          </xdr:spPr>
          <xdr:txBody>
            <a:bodyPr wrap="square" tIns="91440" bIns="9144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a:solidFill>
                    <a:srgbClr val="FFFFCC"/>
                  </a:solidFill>
                </a:rPr>
                <a:t>Facilities/Telecommunications Management</a:t>
              </a:r>
            </a:p>
            <a:p>
              <a:r>
                <a:rPr lang="en-US" sz="1000">
                  <a:solidFill>
                    <a:prstClr val="white"/>
                  </a:solidFill>
                  <a:latin typeface="+mn-lt"/>
                </a:rPr>
                <a:t>Operation and maintenance of a physical facility to host and operate a system and/or provide support services. Includes utilities</a:t>
              </a:r>
              <a:r>
                <a:rPr lang="en-US" sz="1000">
                  <a:solidFill>
                    <a:prstClr val="white"/>
                  </a:solidFill>
                </a:rPr>
                <a:t>, physical security, network and telecommunications </a:t>
              </a:r>
              <a:r>
                <a:rPr lang="en-US" sz="1000">
                  <a:solidFill>
                    <a:prstClr val="white"/>
                  </a:solidFill>
                  <a:latin typeface="+mn-lt"/>
                </a:rPr>
                <a:t>equipment, etc., necessary to ensure a secure operations center.</a:t>
              </a:r>
            </a:p>
          </xdr:txBody>
        </xdr:sp>
        <xdr:grpSp>
          <xdr:nvGrpSpPr>
            <xdr:cNvPr id="16" name="Group 15">
              <a:extLst>
                <a:ext uri="{FF2B5EF4-FFF2-40B4-BE49-F238E27FC236}">
                  <a16:creationId xmlns:a16="http://schemas.microsoft.com/office/drawing/2014/main" id="{D31B470B-A90C-4C37-8453-5439C787945C}"/>
                </a:ext>
              </a:extLst>
            </xdr:cNvPr>
            <xdr:cNvGrpSpPr/>
          </xdr:nvGrpSpPr>
          <xdr:grpSpPr>
            <a:xfrm>
              <a:off x="257385" y="1541657"/>
              <a:ext cx="810304" cy="4157651"/>
              <a:chOff x="1310343" y="1571622"/>
              <a:chExt cx="353281" cy="4627868"/>
            </a:xfrm>
          </xdr:grpSpPr>
          <xdr:sp macro="" textlink="">
            <xdr:nvSpPr>
              <xdr:cNvPr id="41" name="Rectangle 40">
                <a:extLst>
                  <a:ext uri="{FF2B5EF4-FFF2-40B4-BE49-F238E27FC236}">
                    <a16:creationId xmlns:a16="http://schemas.microsoft.com/office/drawing/2014/main" id="{BE325056-A162-4385-B804-E06EC9205539}"/>
                  </a:ext>
                </a:extLst>
              </xdr:cNvPr>
              <xdr:cNvSpPr/>
            </xdr:nvSpPr>
            <xdr:spPr>
              <a:xfrm rot="16200000">
                <a:off x="-275831" y="4521370"/>
                <a:ext cx="3264294" cy="91945"/>
              </a:xfrm>
              <a:prstGeom prst="rect">
                <a:avLst/>
              </a:prstGeom>
              <a:solidFill>
                <a:srgbClr val="70AD47">
                  <a:lumMod val="75000"/>
                </a:srgbClr>
              </a:solidFill>
              <a:ln w="6350" cap="flat" cmpd="sng" algn="ctr">
                <a:noFill/>
                <a:prstDash val="solid"/>
                <a:miter lim="800000"/>
              </a:ln>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kern="0">
                    <a:solidFill>
                      <a:prstClr val="white"/>
                    </a:solidFill>
                    <a:sym typeface="Arial"/>
                    <a:rtl val="0"/>
                  </a:rPr>
                  <a:t>Technology Services</a:t>
                </a:r>
              </a:p>
            </xdr:txBody>
          </xdr:sp>
          <xdr:sp macro="" textlink="">
            <xdr:nvSpPr>
              <xdr:cNvPr id="42" name="Rectangle 41">
                <a:extLst>
                  <a:ext uri="{FF2B5EF4-FFF2-40B4-BE49-F238E27FC236}">
                    <a16:creationId xmlns:a16="http://schemas.microsoft.com/office/drawing/2014/main" id="{8957896F-23D5-430A-AECF-E2FB25E57BF7}"/>
                  </a:ext>
                </a:extLst>
              </xdr:cNvPr>
              <xdr:cNvSpPr/>
            </xdr:nvSpPr>
            <xdr:spPr>
              <a:xfrm rot="16200000">
                <a:off x="792254" y="5499650"/>
                <a:ext cx="1302589" cy="82572"/>
              </a:xfrm>
              <a:prstGeom prst="rect">
                <a:avLst/>
              </a:prstGeom>
              <a:solidFill>
                <a:srgbClr val="C1CD23">
                  <a:alpha val="60000"/>
                </a:srgbClr>
              </a:solidFill>
              <a:ln w="6350" cap="flat" cmpd="sng" algn="ctr">
                <a:noFill/>
                <a:prstDash val="solid"/>
                <a:miter lim="800000"/>
              </a:ln>
              <a:effectLst/>
            </xdr:spPr>
            <xdr:txBody>
              <a:bodyPr wrap="square" lIns="0" rIns="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50" b="1" kern="0">
                    <a:solidFill>
                      <a:prstClr val="black"/>
                    </a:solidFill>
                    <a:sym typeface="Arial"/>
                    <a:rtl val="0"/>
                  </a:rPr>
                  <a:t>IaaS</a:t>
                </a:r>
              </a:p>
            </xdr:txBody>
          </xdr:sp>
          <xdr:sp macro="" textlink="">
            <xdr:nvSpPr>
              <xdr:cNvPr id="43" name="Rectangle 42">
                <a:extLst>
                  <a:ext uri="{FF2B5EF4-FFF2-40B4-BE49-F238E27FC236}">
                    <a16:creationId xmlns:a16="http://schemas.microsoft.com/office/drawing/2014/main" id="{A1D27182-A03E-4EF6-822C-3C5CF534395B}"/>
                  </a:ext>
                </a:extLst>
              </xdr:cNvPr>
              <xdr:cNvSpPr/>
            </xdr:nvSpPr>
            <xdr:spPr>
              <a:xfrm rot="16200000">
                <a:off x="-24608" y="4507203"/>
                <a:ext cx="3284483" cy="91978"/>
              </a:xfrm>
              <a:prstGeom prst="rect">
                <a:avLst/>
              </a:prstGeom>
              <a:solidFill>
                <a:srgbClr val="6DA945"/>
              </a:solidFill>
              <a:ln w="6350" cap="flat" cmpd="sng" algn="ctr">
                <a:noFill/>
                <a:prstDash val="solid"/>
                <a:miter lim="800000"/>
              </a:ln>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100" b="1" kern="0">
                    <a:solidFill>
                      <a:prstClr val="black"/>
                    </a:solidFill>
                    <a:sym typeface="Arial"/>
                    <a:rtl val="0"/>
                  </a:rPr>
                  <a:t>                                   SaaS</a:t>
                </a:r>
              </a:p>
            </xdr:txBody>
          </xdr:sp>
          <xdr:sp macro="" textlink="">
            <xdr:nvSpPr>
              <xdr:cNvPr id="44" name="Rectangle 43">
                <a:extLst>
                  <a:ext uri="{FF2B5EF4-FFF2-40B4-BE49-F238E27FC236}">
                    <a16:creationId xmlns:a16="http://schemas.microsoft.com/office/drawing/2014/main" id="{70F385DE-2412-4FC5-A242-F22423F32978}"/>
                  </a:ext>
                </a:extLst>
              </xdr:cNvPr>
              <xdr:cNvSpPr/>
            </xdr:nvSpPr>
            <xdr:spPr>
              <a:xfrm rot="16200000">
                <a:off x="805197" y="2076770"/>
                <a:ext cx="1363575" cy="353279"/>
              </a:xfrm>
              <a:prstGeom prst="rect">
                <a:avLst/>
              </a:prstGeom>
              <a:solidFill>
                <a:srgbClr val="005B94"/>
              </a:solidFill>
              <a:ln w="6350" cap="flat" cmpd="sng" algn="ctr">
                <a:noFill/>
                <a:prstDash val="solid"/>
                <a:miter lim="800000"/>
              </a:ln>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kern="0">
                    <a:solidFill>
                      <a:srgbClr val="FFFFCC"/>
                    </a:solidFill>
                    <a:sym typeface="Arial"/>
                    <a:rtl val="0"/>
                  </a:rPr>
                  <a:t>Business Support Services</a:t>
                </a:r>
              </a:p>
            </xdr:txBody>
          </xdr:sp>
        </xdr:grpSp>
        <xdr:cxnSp macro="">
          <xdr:nvCxnSpPr>
            <xdr:cNvPr id="17" name="Straight Connector 16">
              <a:extLst>
                <a:ext uri="{FF2B5EF4-FFF2-40B4-BE49-F238E27FC236}">
                  <a16:creationId xmlns:a16="http://schemas.microsoft.com/office/drawing/2014/main" id="{B78A2F4D-87F1-4497-BDDB-8E68C4B22150}"/>
                </a:ext>
              </a:extLst>
            </xdr:cNvPr>
            <xdr:cNvCxnSpPr/>
          </xdr:nvCxnSpPr>
          <xdr:spPr>
            <a:xfrm>
              <a:off x="4366029" y="1342506"/>
              <a:ext cx="0" cy="4112110"/>
            </a:xfrm>
            <a:prstGeom prst="line">
              <a:avLst/>
            </a:prstGeom>
            <a:noFill/>
            <a:ln w="31750" cap="flat" cmpd="sng" algn="ctr">
              <a:solidFill>
                <a:srgbClr val="FFFFFF">
                  <a:alpha val="40000"/>
                </a:srgbClr>
              </a:solidFill>
              <a:prstDash val="sysDash"/>
              <a:miter lim="800000"/>
            </a:ln>
            <a:effectLst/>
          </xdr:spPr>
        </xdr:cxnSp>
        <xdr:cxnSp macro="">
          <xdr:nvCxnSpPr>
            <xdr:cNvPr id="18" name="Straight Connector 17">
              <a:extLst>
                <a:ext uri="{FF2B5EF4-FFF2-40B4-BE49-F238E27FC236}">
                  <a16:creationId xmlns:a16="http://schemas.microsoft.com/office/drawing/2014/main" id="{B355FC3A-68E7-484D-89D0-7664C0DC6DCA}"/>
                </a:ext>
              </a:extLst>
            </xdr:cNvPr>
            <xdr:cNvCxnSpPr/>
          </xdr:nvCxnSpPr>
          <xdr:spPr>
            <a:xfrm>
              <a:off x="6579240" y="1545634"/>
              <a:ext cx="0" cy="4107460"/>
            </a:xfrm>
            <a:prstGeom prst="line">
              <a:avLst/>
            </a:prstGeom>
            <a:noFill/>
            <a:ln w="31750" cap="flat" cmpd="sng" algn="ctr">
              <a:solidFill>
                <a:srgbClr val="FFFFFF">
                  <a:alpha val="40000"/>
                </a:srgbClr>
              </a:solidFill>
              <a:prstDash val="sysDash"/>
              <a:miter lim="800000"/>
            </a:ln>
            <a:effectLst/>
          </xdr:spPr>
        </xdr:cxnSp>
        <xdr:sp macro="" textlink="">
          <xdr:nvSpPr>
            <xdr:cNvPr id="19" name="TextBox 61">
              <a:extLst>
                <a:ext uri="{FF2B5EF4-FFF2-40B4-BE49-F238E27FC236}">
                  <a16:creationId xmlns:a16="http://schemas.microsoft.com/office/drawing/2014/main" id="{E4CA81FB-63C1-46A1-B4DD-4A39A1415BF7}"/>
                </a:ext>
              </a:extLst>
            </xdr:cNvPr>
            <xdr:cNvSpPr txBox="1"/>
          </xdr:nvSpPr>
          <xdr:spPr>
            <a:xfrm>
              <a:off x="3934468" y="973774"/>
              <a:ext cx="2911586" cy="185831"/>
            </a:xfrm>
            <a:prstGeom prst="rect">
              <a:avLst/>
            </a:prstGeom>
            <a:noFill/>
            <a:ln w="6350" cap="flat" cmpd="sng" algn="ctr">
              <a:noFill/>
              <a:prstDash val="solid"/>
              <a:miter lim="800000"/>
            </a:ln>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kern="0">
                  <a:sym typeface="Arial"/>
                  <a:rtl val="0"/>
                </a:rPr>
                <a:t>Service Delivery Resources</a:t>
              </a:r>
            </a:p>
          </xdr:txBody>
        </xdr:sp>
        <xdr:sp macro="" textlink="">
          <xdr:nvSpPr>
            <xdr:cNvPr id="20" name="Rectangle 19">
              <a:extLst>
                <a:ext uri="{FF2B5EF4-FFF2-40B4-BE49-F238E27FC236}">
                  <a16:creationId xmlns:a16="http://schemas.microsoft.com/office/drawing/2014/main" id="{8CBAB2E8-7B50-49E9-B6A6-BBCD734B3050}"/>
                </a:ext>
              </a:extLst>
            </xdr:cNvPr>
            <xdr:cNvSpPr/>
          </xdr:nvSpPr>
          <xdr:spPr>
            <a:xfrm>
              <a:off x="255563" y="5692901"/>
              <a:ext cx="8654901" cy="213282"/>
            </a:xfrm>
            <a:prstGeom prst="rect">
              <a:avLst/>
            </a:prstGeom>
            <a:solidFill>
              <a:srgbClr val="C1CD23"/>
            </a:solidFill>
            <a:ln w="6350" cap="flat" cmpd="sng" algn="ctr">
              <a:noFill/>
              <a:prstDash val="solid"/>
              <a:miter lim="800000"/>
            </a:ln>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50" b="1" kern="0">
                  <a:solidFill>
                    <a:prstClr val="black"/>
                  </a:solidFill>
                  <a:latin typeface="Arial"/>
                  <a:ea typeface="Arial"/>
                  <a:cs typeface="Arial"/>
                  <a:sym typeface="Arial"/>
                  <a:rtl val="0"/>
                </a:rPr>
                <a:t>Service Delivery Management</a:t>
              </a:r>
            </a:p>
          </xdr:txBody>
        </xdr:sp>
        <xdr:grpSp>
          <xdr:nvGrpSpPr>
            <xdr:cNvPr id="21" name="Group 20">
              <a:extLst>
                <a:ext uri="{FF2B5EF4-FFF2-40B4-BE49-F238E27FC236}">
                  <a16:creationId xmlns:a16="http://schemas.microsoft.com/office/drawing/2014/main" id="{7341B5F2-DFC6-41FA-BC02-F7C75FDE878A}"/>
                </a:ext>
              </a:extLst>
            </xdr:cNvPr>
            <xdr:cNvGrpSpPr/>
          </xdr:nvGrpSpPr>
          <xdr:grpSpPr>
            <a:xfrm>
              <a:off x="1074805" y="1499446"/>
              <a:ext cx="926601" cy="4192834"/>
              <a:chOff x="1216323" y="1561241"/>
              <a:chExt cx="1219998" cy="4099646"/>
            </a:xfrm>
          </xdr:grpSpPr>
          <xdr:sp macro="" textlink="">
            <xdr:nvSpPr>
              <xdr:cNvPr id="26" name="Rectangle 25">
                <a:extLst>
                  <a:ext uri="{FF2B5EF4-FFF2-40B4-BE49-F238E27FC236}">
                    <a16:creationId xmlns:a16="http://schemas.microsoft.com/office/drawing/2014/main" id="{B3AEDB38-CDFB-4005-B79D-2A3ACAD9C716}"/>
                  </a:ext>
                </a:extLst>
              </xdr:cNvPr>
              <xdr:cNvSpPr/>
            </xdr:nvSpPr>
            <xdr:spPr>
              <a:xfrm>
                <a:off x="1395696" y="1561241"/>
                <a:ext cx="1040625" cy="4099646"/>
              </a:xfrm>
              <a:prstGeom prst="rect">
                <a:avLst/>
              </a:prstGeom>
              <a:solidFill>
                <a:srgbClr val="C1CD23">
                  <a:alpha val="40000"/>
                </a:srgbClr>
              </a:solidFill>
              <a:ln w="12700" cap="flat" cmpd="sng" algn="ctr">
                <a:noFill/>
                <a:prstDash val="solid"/>
                <a:miter lim="800000"/>
              </a:ln>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sz="1400" kern="0">
                  <a:solidFill>
                    <a:prstClr val="white"/>
                  </a:solidFill>
                  <a:sym typeface="Arial"/>
                  <a:rtl val="0"/>
                </a:endParaRPr>
              </a:p>
            </xdr:txBody>
          </xdr:sp>
          <xdr:pic>
            <xdr:nvPicPr>
              <xdr:cNvPr id="27" name="Picture 26">
                <a:extLst>
                  <a:ext uri="{FF2B5EF4-FFF2-40B4-BE49-F238E27FC236}">
                    <a16:creationId xmlns:a16="http://schemas.microsoft.com/office/drawing/2014/main" id="{F50ED1DF-F44A-4FC3-9F6C-A7ABA5D584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2903" y="3404708"/>
                <a:ext cx="448793" cy="468196"/>
              </a:xfrm>
              <a:prstGeom prst="rect">
                <a:avLst/>
              </a:prstGeom>
              <a:effectLst>
                <a:outerShdw blurRad="50800" dist="38100" dir="5400000" algn="t" rotWithShape="0">
                  <a:prstClr val="black">
                    <a:alpha val="40000"/>
                  </a:prstClr>
                </a:outerShdw>
              </a:effectLst>
            </xdr:spPr>
          </xdr:pic>
          <xdr:pic>
            <xdr:nvPicPr>
              <xdr:cNvPr id="28" name="Picture 27">
                <a:extLst>
                  <a:ext uri="{FF2B5EF4-FFF2-40B4-BE49-F238E27FC236}">
                    <a16:creationId xmlns:a16="http://schemas.microsoft.com/office/drawing/2014/main" id="{2051BDDA-7C94-46FE-8609-99DDB00B237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42682" y="4573447"/>
                <a:ext cx="409235" cy="440710"/>
              </a:xfrm>
              <a:prstGeom prst="rect">
                <a:avLst/>
              </a:prstGeom>
              <a:effectLst>
                <a:outerShdw blurRad="50800" dist="38100" dir="5400000" algn="t" rotWithShape="0">
                  <a:prstClr val="black">
                    <a:alpha val="40000"/>
                  </a:prstClr>
                </a:outerShdw>
              </a:effectLst>
            </xdr:spPr>
          </xdr:pic>
          <xdr:pic>
            <xdr:nvPicPr>
              <xdr:cNvPr id="29" name="Picture 28">
                <a:extLst>
                  <a:ext uri="{FF2B5EF4-FFF2-40B4-BE49-F238E27FC236}">
                    <a16:creationId xmlns:a16="http://schemas.microsoft.com/office/drawing/2014/main" id="{6D4292A7-4DEB-4D5A-A562-E257A7AED37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74606" y="5109620"/>
                <a:ext cx="329243" cy="479871"/>
              </a:xfrm>
              <a:prstGeom prst="rect">
                <a:avLst/>
              </a:prstGeom>
              <a:effectLst>
                <a:outerShdw blurRad="50800" dist="38100" dir="5400000" algn="t" rotWithShape="0">
                  <a:prstClr val="black">
                    <a:alpha val="40000"/>
                  </a:prstClr>
                </a:outerShdw>
              </a:effectLst>
            </xdr:spPr>
          </xdr:pic>
          <xdr:sp macro="" textlink="">
            <xdr:nvSpPr>
              <xdr:cNvPr id="30" name="Oval 29">
                <a:extLst>
                  <a:ext uri="{FF2B5EF4-FFF2-40B4-BE49-F238E27FC236}">
                    <a16:creationId xmlns:a16="http://schemas.microsoft.com/office/drawing/2014/main" id="{42F2FD91-D21F-462E-9E0E-B0456984B460}"/>
                  </a:ext>
                </a:extLst>
              </xdr:cNvPr>
              <xdr:cNvSpPr/>
            </xdr:nvSpPr>
            <xdr:spPr>
              <a:xfrm>
                <a:off x="1216323" y="1727266"/>
                <a:ext cx="295304" cy="239332"/>
              </a:xfrm>
              <a:prstGeom prst="ellipse">
                <a:avLst/>
              </a:prstGeom>
              <a:solidFill>
                <a:srgbClr val="005B94"/>
              </a:solidFill>
              <a:ln w="12700" cap="flat" cmpd="sng" algn="ctr">
                <a:noFill/>
                <a:prstDash val="solid"/>
                <a:miter lim="800000"/>
              </a:ln>
              <a:effectLst>
                <a:outerShdw blurRad="50800" dist="38100" dir="5400000" algn="t" rotWithShape="0">
                  <a:prstClr val="black">
                    <a:alpha val="40000"/>
                  </a:prstClr>
                </a:outerShdw>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kern="0">
                    <a:solidFill>
                      <a:prstClr val="white"/>
                    </a:solidFill>
                    <a:effectLst>
                      <a:outerShdw blurRad="38100" dist="38100" dir="2700000" algn="tl">
                        <a:srgbClr val="000000">
                          <a:alpha val="43137"/>
                        </a:srgbClr>
                      </a:outerShdw>
                    </a:effectLst>
                    <a:sym typeface="Arial"/>
                    <a:rtl val="0"/>
                  </a:rPr>
                  <a:t>7</a:t>
                </a:r>
              </a:p>
            </xdr:txBody>
          </xdr:sp>
          <xdr:sp macro="" textlink="">
            <xdr:nvSpPr>
              <xdr:cNvPr id="31" name="Oval 30">
                <a:extLst>
                  <a:ext uri="{FF2B5EF4-FFF2-40B4-BE49-F238E27FC236}">
                    <a16:creationId xmlns:a16="http://schemas.microsoft.com/office/drawing/2014/main" id="{7B14461F-D3A2-4DB0-B9EF-5CB9FD487C35}"/>
                  </a:ext>
                </a:extLst>
              </xdr:cNvPr>
              <xdr:cNvSpPr/>
            </xdr:nvSpPr>
            <xdr:spPr>
              <a:xfrm>
                <a:off x="1216323" y="2288452"/>
                <a:ext cx="295304" cy="239332"/>
              </a:xfrm>
              <a:prstGeom prst="ellipse">
                <a:avLst/>
              </a:prstGeom>
              <a:solidFill>
                <a:srgbClr val="005B94"/>
              </a:solidFill>
              <a:ln w="12700" cap="flat" cmpd="sng" algn="ctr">
                <a:noFill/>
                <a:prstDash val="solid"/>
                <a:miter lim="800000"/>
              </a:ln>
              <a:effectLst>
                <a:outerShdw blurRad="50800" dist="38100" dir="5400000" algn="t" rotWithShape="0">
                  <a:prstClr val="black">
                    <a:alpha val="40000"/>
                  </a:prstClr>
                </a:outerShdw>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kern="0">
                    <a:solidFill>
                      <a:prstClr val="white"/>
                    </a:solidFill>
                    <a:effectLst>
                      <a:outerShdw blurRad="38100" dist="38100" dir="2700000" algn="tl">
                        <a:srgbClr val="000000">
                          <a:alpha val="43137"/>
                        </a:srgbClr>
                      </a:outerShdw>
                    </a:effectLst>
                    <a:sym typeface="Arial"/>
                    <a:rtl val="0"/>
                  </a:rPr>
                  <a:t>6</a:t>
                </a:r>
              </a:p>
            </xdr:txBody>
          </xdr:sp>
          <xdr:sp macro="" textlink="">
            <xdr:nvSpPr>
              <xdr:cNvPr id="32" name="Oval 31">
                <a:extLst>
                  <a:ext uri="{FF2B5EF4-FFF2-40B4-BE49-F238E27FC236}">
                    <a16:creationId xmlns:a16="http://schemas.microsoft.com/office/drawing/2014/main" id="{0962A94F-A13C-4F5E-968E-A81C43701555}"/>
                  </a:ext>
                </a:extLst>
              </xdr:cNvPr>
              <xdr:cNvSpPr/>
            </xdr:nvSpPr>
            <xdr:spPr>
              <a:xfrm>
                <a:off x="1216323" y="2902992"/>
                <a:ext cx="295304" cy="239332"/>
              </a:xfrm>
              <a:prstGeom prst="ellipse">
                <a:avLst/>
              </a:prstGeom>
              <a:solidFill>
                <a:srgbClr val="005B94"/>
              </a:solidFill>
              <a:ln w="12700" cap="flat" cmpd="sng" algn="ctr">
                <a:noFill/>
                <a:prstDash val="solid"/>
                <a:miter lim="800000"/>
              </a:ln>
              <a:effectLst>
                <a:outerShdw blurRad="50800" dist="38100" dir="5400000" algn="t" rotWithShape="0">
                  <a:prstClr val="black">
                    <a:alpha val="40000"/>
                  </a:prstClr>
                </a:outerShdw>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kern="0">
                    <a:solidFill>
                      <a:prstClr val="white"/>
                    </a:solidFill>
                    <a:effectLst>
                      <a:outerShdw blurRad="38100" dist="38100" dir="2700000" algn="tl">
                        <a:srgbClr val="000000">
                          <a:alpha val="43137"/>
                        </a:srgbClr>
                      </a:outerShdw>
                    </a:effectLst>
                    <a:sym typeface="Arial"/>
                    <a:rtl val="0"/>
                  </a:rPr>
                  <a:t>5</a:t>
                </a:r>
              </a:p>
            </xdr:txBody>
          </xdr:sp>
          <xdr:sp macro="" textlink="">
            <xdr:nvSpPr>
              <xdr:cNvPr id="33" name="Oval 32">
                <a:extLst>
                  <a:ext uri="{FF2B5EF4-FFF2-40B4-BE49-F238E27FC236}">
                    <a16:creationId xmlns:a16="http://schemas.microsoft.com/office/drawing/2014/main" id="{A48A5F7F-E440-4329-92D4-1CC44AACB75D}"/>
                  </a:ext>
                </a:extLst>
              </xdr:cNvPr>
              <xdr:cNvSpPr/>
            </xdr:nvSpPr>
            <xdr:spPr>
              <a:xfrm>
                <a:off x="1216323" y="3491258"/>
                <a:ext cx="295303" cy="239332"/>
              </a:xfrm>
              <a:prstGeom prst="ellipse">
                <a:avLst/>
              </a:prstGeom>
              <a:solidFill>
                <a:srgbClr val="005B94"/>
              </a:solidFill>
              <a:ln w="12700" cap="flat" cmpd="sng" algn="ctr">
                <a:noFill/>
                <a:prstDash val="solid"/>
                <a:miter lim="800000"/>
              </a:ln>
              <a:effectLst>
                <a:outerShdw blurRad="50800" dist="38100" dir="5400000" algn="t" rotWithShape="0">
                  <a:prstClr val="black">
                    <a:alpha val="40000"/>
                  </a:prstClr>
                </a:outerShdw>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kern="0">
                    <a:solidFill>
                      <a:prstClr val="white"/>
                    </a:solidFill>
                    <a:effectLst>
                      <a:outerShdw blurRad="38100" dist="38100" dir="2700000" algn="tl">
                        <a:srgbClr val="000000">
                          <a:alpha val="43137"/>
                        </a:srgbClr>
                      </a:outerShdw>
                    </a:effectLst>
                    <a:sym typeface="Arial"/>
                    <a:rtl val="0"/>
                  </a:rPr>
                  <a:t>4</a:t>
                </a:r>
              </a:p>
            </xdr:txBody>
          </xdr:sp>
          <xdr:sp macro="" textlink="">
            <xdr:nvSpPr>
              <xdr:cNvPr id="34" name="Oval 33">
                <a:extLst>
                  <a:ext uri="{FF2B5EF4-FFF2-40B4-BE49-F238E27FC236}">
                    <a16:creationId xmlns:a16="http://schemas.microsoft.com/office/drawing/2014/main" id="{65BD3975-0400-4763-A0AC-B4B67935292E}"/>
                  </a:ext>
                </a:extLst>
              </xdr:cNvPr>
              <xdr:cNvSpPr/>
            </xdr:nvSpPr>
            <xdr:spPr>
              <a:xfrm>
                <a:off x="1216323" y="4100128"/>
                <a:ext cx="295304" cy="239332"/>
              </a:xfrm>
              <a:prstGeom prst="ellipse">
                <a:avLst/>
              </a:prstGeom>
              <a:solidFill>
                <a:srgbClr val="005B94"/>
              </a:solidFill>
              <a:ln w="12700" cap="flat" cmpd="sng" algn="ctr">
                <a:noFill/>
                <a:prstDash val="solid"/>
                <a:miter lim="800000"/>
              </a:ln>
              <a:effectLst>
                <a:outerShdw blurRad="50800" dist="38100" dir="5400000" algn="t" rotWithShape="0">
                  <a:prstClr val="black">
                    <a:alpha val="40000"/>
                  </a:prstClr>
                </a:outerShdw>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kern="0">
                    <a:solidFill>
                      <a:prstClr val="white"/>
                    </a:solidFill>
                    <a:effectLst>
                      <a:outerShdw blurRad="38100" dist="38100" dir="2700000" algn="tl">
                        <a:srgbClr val="000000">
                          <a:alpha val="43137"/>
                        </a:srgbClr>
                      </a:outerShdw>
                    </a:effectLst>
                    <a:sym typeface="Arial"/>
                    <a:rtl val="0"/>
                  </a:rPr>
                  <a:t>3</a:t>
                </a:r>
              </a:p>
            </xdr:txBody>
          </xdr:sp>
          <xdr:sp macro="" textlink="">
            <xdr:nvSpPr>
              <xdr:cNvPr id="35" name="Oval 34">
                <a:extLst>
                  <a:ext uri="{FF2B5EF4-FFF2-40B4-BE49-F238E27FC236}">
                    <a16:creationId xmlns:a16="http://schemas.microsoft.com/office/drawing/2014/main" id="{0F05FBF8-B5AF-4DC0-AD8F-2B99CAC4F897}"/>
                  </a:ext>
                </a:extLst>
              </xdr:cNvPr>
              <xdr:cNvSpPr/>
            </xdr:nvSpPr>
            <xdr:spPr>
              <a:xfrm>
                <a:off x="1216323" y="4649675"/>
                <a:ext cx="295304" cy="239332"/>
              </a:xfrm>
              <a:prstGeom prst="ellipse">
                <a:avLst/>
              </a:prstGeom>
              <a:solidFill>
                <a:srgbClr val="005B94"/>
              </a:solidFill>
              <a:ln w="12700" cap="flat" cmpd="sng" algn="ctr">
                <a:noFill/>
                <a:prstDash val="solid"/>
                <a:miter lim="800000"/>
              </a:ln>
              <a:effectLst>
                <a:outerShdw blurRad="50800" dist="38100" dir="5400000" algn="t" rotWithShape="0">
                  <a:prstClr val="black">
                    <a:alpha val="40000"/>
                  </a:prstClr>
                </a:outerShdw>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kern="0">
                    <a:solidFill>
                      <a:prstClr val="white"/>
                    </a:solidFill>
                    <a:effectLst>
                      <a:outerShdw blurRad="38100" dist="38100" dir="2700000" algn="tl">
                        <a:srgbClr val="000000">
                          <a:alpha val="43137"/>
                        </a:srgbClr>
                      </a:outerShdw>
                    </a:effectLst>
                    <a:sym typeface="Arial"/>
                    <a:rtl val="0"/>
                  </a:rPr>
                  <a:t>2</a:t>
                </a:r>
              </a:p>
            </xdr:txBody>
          </xdr:sp>
          <xdr:sp macro="" textlink="">
            <xdr:nvSpPr>
              <xdr:cNvPr id="36" name="Oval 35">
                <a:extLst>
                  <a:ext uri="{FF2B5EF4-FFF2-40B4-BE49-F238E27FC236}">
                    <a16:creationId xmlns:a16="http://schemas.microsoft.com/office/drawing/2014/main" id="{9FDB2A07-A54C-44BB-896F-2E032E287548}"/>
                  </a:ext>
                </a:extLst>
              </xdr:cNvPr>
              <xdr:cNvSpPr/>
            </xdr:nvSpPr>
            <xdr:spPr>
              <a:xfrm>
                <a:off x="1216323" y="5215284"/>
                <a:ext cx="295304" cy="239332"/>
              </a:xfrm>
              <a:prstGeom prst="ellipse">
                <a:avLst/>
              </a:prstGeom>
              <a:solidFill>
                <a:srgbClr val="005B94"/>
              </a:solidFill>
              <a:ln w="12700" cap="flat" cmpd="sng" algn="ctr">
                <a:noFill/>
                <a:prstDash val="solid"/>
                <a:miter lim="800000"/>
              </a:ln>
              <a:effectLst>
                <a:outerShdw blurRad="50800" dist="38100" dir="5400000" algn="t" rotWithShape="0">
                  <a:prstClr val="black">
                    <a:alpha val="40000"/>
                  </a:prstClr>
                </a:outerShdw>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kern="0">
                    <a:solidFill>
                      <a:prstClr val="white"/>
                    </a:solidFill>
                    <a:effectLst>
                      <a:outerShdw blurRad="38100" dist="38100" dir="2700000" algn="tl">
                        <a:srgbClr val="000000">
                          <a:alpha val="43137"/>
                        </a:srgbClr>
                      </a:outerShdw>
                    </a:effectLst>
                    <a:sym typeface="Arial"/>
                    <a:rtl val="0"/>
                  </a:rPr>
                  <a:t>1</a:t>
                </a:r>
              </a:p>
            </xdr:txBody>
          </xdr:sp>
          <xdr:pic>
            <xdr:nvPicPr>
              <xdr:cNvPr id="37" name="Picture 36">
                <a:extLst>
                  <a:ext uri="{FF2B5EF4-FFF2-40B4-BE49-F238E27FC236}">
                    <a16:creationId xmlns:a16="http://schemas.microsoft.com/office/drawing/2014/main" id="{1EFDE0DC-B644-4172-ADBB-D0FD64A137F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568622" y="1635183"/>
                <a:ext cx="827456" cy="423497"/>
              </a:xfrm>
              <a:prstGeom prst="rect">
                <a:avLst/>
              </a:prstGeom>
              <a:effectLst>
                <a:outerShdw blurRad="50800" dist="38100" dir="5400000" algn="t" rotWithShape="0">
                  <a:prstClr val="black">
                    <a:alpha val="40000"/>
                  </a:prstClr>
                </a:outerShdw>
              </a:effectLst>
            </xdr:spPr>
          </xdr:pic>
          <xdr:pic>
            <xdr:nvPicPr>
              <xdr:cNvPr id="38" name="Picture 37">
                <a:extLst>
                  <a:ext uri="{FF2B5EF4-FFF2-40B4-BE49-F238E27FC236}">
                    <a16:creationId xmlns:a16="http://schemas.microsoft.com/office/drawing/2014/main" id="{849F44BB-95F3-420D-9571-AD3D89FE176E}"/>
                  </a:ext>
                </a:extLst>
              </xdr:cNvPr>
              <xdr:cNvPicPr>
                <a:picLocks noChangeAspect="1"/>
              </xdr:cNvPicPr>
            </xdr:nvPicPr>
            <xdr:blipFill>
              <a:blip xmlns:r="http://schemas.openxmlformats.org/officeDocument/2006/relationships" r:embed="rId5">
                <a:duotone>
                  <a:srgbClr val="5B9BD5">
                    <a:shade val="45000"/>
                    <a:satMod val="135000"/>
                  </a:srgbClr>
                  <a:prstClr val="white"/>
                </a:duotone>
                <a:extLst>
                  <a:ext uri="{28A0092B-C50C-407E-A947-70E740481C1C}">
                    <a14:useLocalDpi xmlns:a14="http://schemas.microsoft.com/office/drawing/2010/main" val="0"/>
                  </a:ext>
                </a:extLst>
              </a:blip>
              <a:stretch>
                <a:fillRect/>
              </a:stretch>
            </xdr:blipFill>
            <xdr:spPr>
              <a:xfrm>
                <a:off x="1582233" y="3988940"/>
                <a:ext cx="799978" cy="648350"/>
              </a:xfrm>
              <a:prstGeom prst="rect">
                <a:avLst/>
              </a:prstGeom>
            </xdr:spPr>
          </xdr:pic>
          <xdr:pic>
            <xdr:nvPicPr>
              <xdr:cNvPr id="39" name="Picture 38">
                <a:extLst>
                  <a:ext uri="{FF2B5EF4-FFF2-40B4-BE49-F238E27FC236}">
                    <a16:creationId xmlns:a16="http://schemas.microsoft.com/office/drawing/2014/main" id="{323DD887-61B9-4D34-89CD-9F9DD0138DA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87940" y="2791778"/>
                <a:ext cx="530372" cy="521301"/>
              </a:xfrm>
              <a:prstGeom prst="rect">
                <a:avLst/>
              </a:prstGeom>
              <a:effectLst>
                <a:outerShdw blurRad="50800" dist="38100" dir="5400000" algn="t" rotWithShape="0">
                  <a:prstClr val="black">
                    <a:alpha val="40000"/>
                  </a:prstClr>
                </a:outerShdw>
              </a:effectLst>
            </xdr:spPr>
          </xdr:pic>
          <xdr:pic>
            <xdr:nvPicPr>
              <xdr:cNvPr id="40" name="Picture 39">
                <a:extLst>
                  <a:ext uri="{FF2B5EF4-FFF2-40B4-BE49-F238E27FC236}">
                    <a16:creationId xmlns:a16="http://schemas.microsoft.com/office/drawing/2014/main" id="{FC4FC717-42A5-4DA4-A00A-600514A36160}"/>
                  </a:ext>
                </a:extLst>
              </xdr:cNvPr>
              <xdr:cNvPicPr>
                <a:picLocks noChangeAspect="1"/>
              </xdr:cNvPicPr>
            </xdr:nvPicPr>
            <xdr:blipFill>
              <a:blip xmlns:r="http://schemas.openxmlformats.org/officeDocument/2006/relationships" r:embed="rId7" cstate="print">
                <a:duotone>
                  <a:srgbClr val="4472C4">
                    <a:shade val="45000"/>
                    <a:satMod val="135000"/>
                  </a:srgbClr>
                  <a:prstClr val="white"/>
                </a:duotone>
                <a:extLst>
                  <a:ext uri="{28A0092B-C50C-407E-A947-70E740481C1C}">
                    <a14:useLocalDpi xmlns:a14="http://schemas.microsoft.com/office/drawing/2010/main" val="0"/>
                  </a:ext>
                </a:extLst>
              </a:blip>
              <a:stretch>
                <a:fillRect/>
              </a:stretch>
            </xdr:blipFill>
            <xdr:spPr>
              <a:xfrm>
                <a:off x="1675757" y="2203058"/>
                <a:ext cx="565658" cy="440130"/>
              </a:xfrm>
              <a:prstGeom prst="rect">
                <a:avLst/>
              </a:prstGeom>
              <a:ln w="50800">
                <a:solidFill>
                  <a:srgbClr val="4472C4">
                    <a:lumMod val="75000"/>
                  </a:srgbClr>
                </a:solidFill>
              </a:ln>
            </xdr:spPr>
          </xdr:pic>
        </xdr:grpSp>
        <xdr:sp macro="" textlink="">
          <xdr:nvSpPr>
            <xdr:cNvPr id="22" name="TextBox 64">
              <a:extLst>
                <a:ext uri="{FF2B5EF4-FFF2-40B4-BE49-F238E27FC236}">
                  <a16:creationId xmlns:a16="http://schemas.microsoft.com/office/drawing/2014/main" id="{9A14DEB5-8484-4407-81C8-4BE7B4F110EA}"/>
                </a:ext>
              </a:extLst>
            </xdr:cNvPr>
            <xdr:cNvSpPr txBox="1"/>
          </xdr:nvSpPr>
          <xdr:spPr>
            <a:xfrm>
              <a:off x="7791606" y="969978"/>
              <a:ext cx="1107905" cy="215444"/>
            </a:xfrm>
            <a:prstGeom prst="rect">
              <a:avLst/>
            </a:prstGeom>
            <a:noFill/>
            <a:ln>
              <a:solidFill>
                <a:sysClr val="windowText" lastClr="000000"/>
              </a:solidFill>
            </a:ln>
          </xdr:spPr>
          <xdr:txBody>
            <a:bodyPr wrap="square" lIns="9144" rIns="9144"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kern="0">
                  <a:solidFill>
                    <a:srgbClr val="000000"/>
                  </a:solidFill>
                  <a:latin typeface="Arial"/>
                  <a:cs typeface="Arial"/>
                  <a:sym typeface="Arial"/>
                  <a:rtl val="0"/>
                </a:rPr>
                <a:t>V8 – 11/0</a:t>
              </a:r>
              <a:r>
                <a:rPr lang="en-US" sz="800"/>
                <a:t>3/</a:t>
              </a:r>
              <a:r>
                <a:rPr lang="en-US" sz="800" kern="0">
                  <a:solidFill>
                    <a:srgbClr val="000000"/>
                  </a:solidFill>
                  <a:latin typeface="Arial"/>
                  <a:cs typeface="Arial"/>
                  <a:sym typeface="Arial"/>
                  <a:rtl val="0"/>
                </a:rPr>
                <a:t>2020</a:t>
              </a:r>
            </a:p>
          </xdr:txBody>
        </xdr:sp>
        <xdr:sp macro="" textlink="">
          <xdr:nvSpPr>
            <xdr:cNvPr id="23" name="Rectangle 22">
              <a:extLst>
                <a:ext uri="{FF2B5EF4-FFF2-40B4-BE49-F238E27FC236}">
                  <a16:creationId xmlns:a16="http://schemas.microsoft.com/office/drawing/2014/main" id="{0F0EF737-43FF-4E99-AEAE-4CCA3761E361}"/>
                </a:ext>
              </a:extLst>
            </xdr:cNvPr>
            <xdr:cNvSpPr/>
          </xdr:nvSpPr>
          <xdr:spPr>
            <a:xfrm>
              <a:off x="255562" y="5912606"/>
              <a:ext cx="8654901" cy="526682"/>
            </a:xfrm>
            <a:prstGeom prst="rect">
              <a:avLst/>
            </a:prstGeom>
            <a:solidFill>
              <a:srgbClr val="005B9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tIns="91440" bIns="91440"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US" sz="1050" kern="0">
                <a:solidFill>
                  <a:prstClr val="white"/>
                </a:solidFill>
                <a:cs typeface="Arial"/>
                <a:sym typeface="Arial"/>
                <a:rtl val="0"/>
              </a:endParaRPr>
            </a:p>
          </xdr:txBody>
        </xdr:sp>
        <xdr:sp macro="" textlink="">
          <xdr:nvSpPr>
            <xdr:cNvPr id="24" name="TextBox 66">
              <a:extLst>
                <a:ext uri="{FF2B5EF4-FFF2-40B4-BE49-F238E27FC236}">
                  <a16:creationId xmlns:a16="http://schemas.microsoft.com/office/drawing/2014/main" id="{A4C82C20-4F67-4175-AEDD-8C25C2990A65}"/>
                </a:ext>
              </a:extLst>
            </xdr:cNvPr>
            <xdr:cNvSpPr txBox="1"/>
          </xdr:nvSpPr>
          <xdr:spPr>
            <a:xfrm>
              <a:off x="257388" y="5903094"/>
              <a:ext cx="8653076" cy="57708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50" kern="0">
                  <a:solidFill>
                    <a:schemeClr val="bg1"/>
                  </a:solidFill>
                  <a:cs typeface="Arial"/>
                  <a:sym typeface="Arial"/>
                  <a:rtl val="0"/>
                </a:rPr>
                <a:t>Program and operations management; s</a:t>
              </a:r>
              <a:r>
                <a:rPr lang="en-US" sz="1050" kern="0">
                  <a:solidFill>
                    <a:schemeClr val="bg1"/>
                  </a:solidFill>
                  <a:latin typeface="+mn-lt"/>
                  <a:cs typeface="Arial"/>
                  <a:sym typeface="Arial"/>
                  <a:rtl val="0"/>
                </a:rPr>
                <a:t>ervice strategy, design, transition, performance, and change management; business customer relationship management</a:t>
              </a:r>
              <a:r>
                <a:rPr lang="en-US" sz="1050" kern="0">
                  <a:solidFill>
                    <a:schemeClr val="bg1"/>
                  </a:solidFill>
                  <a:cs typeface="Arial"/>
                  <a:sym typeface="Arial"/>
                  <a:rtl val="0"/>
                </a:rPr>
                <a:t>; supplier management</a:t>
              </a:r>
              <a:r>
                <a:rPr lang="en-US" sz="1050" kern="0">
                  <a:solidFill>
                    <a:schemeClr val="bg1"/>
                  </a:solidFill>
                  <a:latin typeface="+mn-lt"/>
                  <a:cs typeface="Arial"/>
                  <a:sym typeface="Arial"/>
                  <a:rtl val="0"/>
                </a:rPr>
                <a:t>; service </a:t>
              </a:r>
              <a:r>
                <a:rPr lang="en-US" sz="1050" kern="0">
                  <a:solidFill>
                    <a:schemeClr val="bg1"/>
                  </a:solidFill>
                  <a:cs typeface="Arial"/>
                  <a:sym typeface="Arial"/>
                  <a:rtl val="0"/>
                </a:rPr>
                <a:t>asset and configuration management; </a:t>
              </a:r>
              <a:r>
                <a:rPr lang="en-US" sz="1050" kern="0">
                  <a:solidFill>
                    <a:schemeClr val="bg1"/>
                  </a:solidFill>
                  <a:latin typeface="+mn-lt"/>
                  <a:cs typeface="Arial"/>
                  <a:sym typeface="Arial"/>
                  <a:rtl val="0"/>
                </a:rPr>
                <a:t>security/privacy assurance and DR/COOP management; office and administrative support</a:t>
              </a:r>
            </a:p>
          </xdr:txBody>
        </xdr:sp>
        <xdr:sp macro="" textlink="">
          <xdr:nvSpPr>
            <xdr:cNvPr id="25" name="Rectangle 24">
              <a:extLst>
                <a:ext uri="{FF2B5EF4-FFF2-40B4-BE49-F238E27FC236}">
                  <a16:creationId xmlns:a16="http://schemas.microsoft.com/office/drawing/2014/main" id="{DD56BD79-C40B-4B90-B26D-F2D11F674D9F}"/>
                </a:ext>
              </a:extLst>
            </xdr:cNvPr>
            <xdr:cNvSpPr/>
          </xdr:nvSpPr>
          <xdr:spPr>
            <a:xfrm rot="16200000">
              <a:off x="-1340490" y="3353468"/>
              <a:ext cx="2920285" cy="228276"/>
            </a:xfrm>
            <a:prstGeom prst="rect">
              <a:avLst/>
            </a:prstGeom>
            <a:noFill/>
            <a:ln w="6350" cap="flat" cmpd="sng" algn="ctr">
              <a:noFill/>
              <a:prstDash val="solid"/>
              <a:miter lim="800000"/>
            </a:ln>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600" b="1" kern="0">
                  <a:solidFill>
                    <a:srgbClr val="005B94"/>
                  </a:solidFill>
                  <a:latin typeface="+mn-lt"/>
                  <a:sym typeface="Arial"/>
                  <a:rtl val="0"/>
                </a:rPr>
                <a:t>Service Delivery Layers</a:t>
              </a:r>
            </a:p>
          </xdr:txBody>
        </xdr:sp>
      </xdr:grpSp>
      <xdr:sp macro="" textlink="">
        <xdr:nvSpPr>
          <xdr:cNvPr id="4" name="Oval 3">
            <a:extLst>
              <a:ext uri="{FF2B5EF4-FFF2-40B4-BE49-F238E27FC236}">
                <a16:creationId xmlns:a16="http://schemas.microsoft.com/office/drawing/2014/main" id="{9C3A99D5-35E8-43BF-A943-9D78F56F0FF7}"/>
              </a:ext>
            </a:extLst>
          </xdr:cNvPr>
          <xdr:cNvSpPr/>
        </xdr:nvSpPr>
        <xdr:spPr>
          <a:xfrm>
            <a:off x="1239234" y="6019987"/>
            <a:ext cx="224286" cy="244772"/>
          </a:xfrm>
          <a:prstGeom prst="ellipse">
            <a:avLst/>
          </a:prstGeom>
          <a:solidFill>
            <a:srgbClr val="005B94"/>
          </a:solidFill>
          <a:ln w="12700" cap="flat" cmpd="sng" algn="ctr">
            <a:noFill/>
            <a:prstDash val="solid"/>
            <a:miter lim="800000"/>
          </a:ln>
          <a:effectLst>
            <a:outerShdw blurRad="50800" dist="38100" dir="5400000" algn="t" rotWithShape="0">
              <a:prstClr val="black">
                <a:alpha val="40000"/>
              </a:prstClr>
            </a:outerShdw>
          </a:effectLst>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kern="0">
                <a:solidFill>
                  <a:prstClr val="white"/>
                </a:solidFill>
                <a:effectLst>
                  <a:outerShdw blurRad="38100" dist="38100" dir="2700000" algn="tl">
                    <a:srgbClr val="000000">
                      <a:alpha val="43137"/>
                    </a:srgbClr>
                  </a:outerShdw>
                </a:effectLst>
                <a:sym typeface="Arial"/>
                <a:rtl val="0"/>
              </a:rPr>
              <a:t>0</a:t>
            </a:r>
          </a:p>
        </xdr:txBody>
      </xdr:sp>
    </xdr:grpSp>
    <xdr:clientData/>
  </xdr:twoCellAnchor>
  <xdr:twoCellAnchor editAs="oneCell">
    <xdr:from>
      <xdr:col>1</xdr:col>
      <xdr:colOff>15875</xdr:colOff>
      <xdr:row>1</xdr:row>
      <xdr:rowOff>3969</xdr:rowOff>
    </xdr:from>
    <xdr:to>
      <xdr:col>4</xdr:col>
      <xdr:colOff>477528</xdr:colOff>
      <xdr:row>1</xdr:row>
      <xdr:rowOff>772635</xdr:rowOff>
    </xdr:to>
    <xdr:pic>
      <xdr:nvPicPr>
        <xdr:cNvPr id="46" name="Picture 45">
          <a:extLst>
            <a:ext uri="{FF2B5EF4-FFF2-40B4-BE49-F238E27FC236}">
              <a16:creationId xmlns:a16="http://schemas.microsoft.com/office/drawing/2014/main" id="{AEFFF851-86BF-4DDD-A4AD-B4374C2A433E}"/>
            </a:ext>
          </a:extLst>
        </xdr:cNvPr>
        <xdr:cNvPicPr>
          <a:picLocks noChangeAspect="1"/>
        </xdr:cNvPicPr>
      </xdr:nvPicPr>
      <xdr:blipFill>
        <a:blip xmlns:r="http://schemas.openxmlformats.org/officeDocument/2006/relationships" r:embed="rId8"/>
        <a:stretch>
          <a:fillRect/>
        </a:stretch>
      </xdr:blipFill>
      <xdr:spPr>
        <a:xfrm>
          <a:off x="412750" y="190500"/>
          <a:ext cx="2298391" cy="76866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763278</xdr:colOff>
      <xdr:row>3</xdr:row>
      <xdr:rowOff>177322</xdr:rowOff>
    </xdr:to>
    <xdr:pic>
      <xdr:nvPicPr>
        <xdr:cNvPr id="5" name="Picture 4">
          <a:extLst>
            <a:ext uri="{FF2B5EF4-FFF2-40B4-BE49-F238E27FC236}">
              <a16:creationId xmlns:a16="http://schemas.microsoft.com/office/drawing/2014/main" id="{A92BE93C-A83F-4A58-BAB8-6471EFBDE027}"/>
            </a:ext>
          </a:extLst>
        </xdr:cNvPr>
        <xdr:cNvPicPr>
          <a:picLocks noChangeAspect="1"/>
        </xdr:cNvPicPr>
      </xdr:nvPicPr>
      <xdr:blipFill>
        <a:blip xmlns:r="http://schemas.openxmlformats.org/officeDocument/2006/relationships" r:embed="rId1"/>
        <a:stretch>
          <a:fillRect/>
        </a:stretch>
      </xdr:blipFill>
      <xdr:spPr>
        <a:xfrm>
          <a:off x="0" y="186531"/>
          <a:ext cx="2298391" cy="76866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758516</xdr:colOff>
      <xdr:row>1</xdr:row>
      <xdr:rowOff>768666</xdr:rowOff>
    </xdr:to>
    <xdr:pic>
      <xdr:nvPicPr>
        <xdr:cNvPr id="5" name="Picture 4">
          <a:extLst>
            <a:ext uri="{FF2B5EF4-FFF2-40B4-BE49-F238E27FC236}">
              <a16:creationId xmlns:a16="http://schemas.microsoft.com/office/drawing/2014/main" id="{983F7263-1D8F-43D8-8C89-6BC731D20E73}"/>
            </a:ext>
          </a:extLst>
        </xdr:cNvPr>
        <xdr:cNvPicPr>
          <a:picLocks noChangeAspect="1"/>
        </xdr:cNvPicPr>
      </xdr:nvPicPr>
      <xdr:blipFill>
        <a:blip xmlns:r="http://schemas.openxmlformats.org/officeDocument/2006/relationships" r:embed="rId1"/>
        <a:stretch>
          <a:fillRect/>
        </a:stretch>
      </xdr:blipFill>
      <xdr:spPr>
        <a:xfrm>
          <a:off x="0" y="187325"/>
          <a:ext cx="2298391" cy="75279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1891393</xdr:colOff>
      <xdr:row>41</xdr:row>
      <xdr:rowOff>820964</xdr:rowOff>
    </xdr:from>
    <xdr:to>
      <xdr:col>2</xdr:col>
      <xdr:colOff>3982466</xdr:colOff>
      <xdr:row>41</xdr:row>
      <xdr:rowOff>2514110</xdr:rowOff>
    </xdr:to>
    <xdr:pic>
      <xdr:nvPicPr>
        <xdr:cNvPr id="3" name="Picture 2">
          <a:extLst>
            <a:ext uri="{FF2B5EF4-FFF2-40B4-BE49-F238E27FC236}">
              <a16:creationId xmlns:a16="http://schemas.microsoft.com/office/drawing/2014/main" id="{7D0F4D14-9D9D-46DC-9D62-08F2E8ABA9BC}"/>
            </a:ext>
          </a:extLst>
        </xdr:cNvPr>
        <xdr:cNvPicPr>
          <a:picLocks noChangeAspect="1"/>
        </xdr:cNvPicPr>
      </xdr:nvPicPr>
      <xdr:blipFill>
        <a:blip xmlns:r="http://schemas.openxmlformats.org/officeDocument/2006/relationships" r:embed="rId1"/>
        <a:stretch>
          <a:fillRect/>
        </a:stretch>
      </xdr:blipFill>
      <xdr:spPr>
        <a:xfrm>
          <a:off x="4526643" y="123031250"/>
          <a:ext cx="2082183" cy="16899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mmunityshare.mitre.org/sites/OMB_GWSS/GM_CCS/Lists/SharedDocuments/GRM%20Business%20Capabilities/Integrated%20Business%20Capabilities_Final_v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mmunityshare.mitre.org/Users/LuisAMattos/Downloads/POS%20and%20MOS%20QC%20Audits%20Finishing%20and%20Compliance%20Checks%2020171004_JF.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ommunityshare.mitre.org/Temp/ESC%20ITIL%20Workshee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ommunityshare.mitre.org/Users/pfitzgerald/AppData/Local/Microsoft/Windows/INetCache/Content.Outlook/0EBVB811/ESC%20ITIL%20Worksheet.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mitre.sharepoint.com/Users/jfaubert/Documents/MITRE%20Research%20-%20MIP-%20MIE%20-%20SPI/TBM/MITRE%20Work%20Products/Federal%20Services%20Components%20Master%20Lists/Federal%20Services%20Components%20-%20Master%20List%20v9%20with%20TBMv3-ITILv4%20Mappings%2020210324%20(version%201).xlsx?FFA77C89" TargetMode="External"/><Relationship Id="rId1" Type="http://schemas.openxmlformats.org/officeDocument/2006/relationships/externalLinkPath" Target="file:///\\FFA77C89\Federal%20Services%20Components%20-%20Master%20List%20v9%20with%20TBMv3-ITILv4%20Mappings%2020210324%20(version%201).xlsx"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https://communityshare.mitre.org/sites/580_HHS/FDA/QMIS/Lists/SharedDocuments/Requirements%20Management/Master%20Versions%20of%20Requirements/Version%203/Deliverable%20Versions/QMiS%20Functional%20Requirements%20for%20Capability%20Matrix%205182016.xls?DAFD4B5F" TargetMode="External"/><Relationship Id="rId1" Type="http://schemas.openxmlformats.org/officeDocument/2006/relationships/externalLinkPath" Target="file:///\\DAFD4B5F\QMiS%20Functional%20Requirements%20for%20Capability%20Matrix%2051820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apability"/>
      <sheetName val="DataGroups"/>
      <sheetName val="Lookups"/>
      <sheetName val="Capability 11-Jan"/>
      <sheetName val="QACheck"/>
      <sheetName val="Checks to Make"/>
      <sheetName val="Integrated Business Capabilitie"/>
      <sheetName val="DropDownLists"/>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 Lists"/>
      <sheetName val="POS and MOS QC Audits Finishing"/>
      <sheetName val="DropDownList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olidated Review"/>
      <sheetName val="Steve and Angie"/>
      <sheetName val="Doah and Amanda"/>
      <sheetName val="Holly, Tammy, Alex, and Dotti"/>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olidated Review"/>
      <sheetName val="Steve and Angie"/>
      <sheetName val="Doah and Amanda"/>
      <sheetName val="Holly, Tammy, Alex, and Dotti"/>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hange History"/>
      <sheetName val="Overview"/>
      <sheetName val="Service Component List Instruc"/>
      <sheetName val="Service Components Legend"/>
      <sheetName val="Service Components Master List"/>
      <sheetName val="TBM Towers v3 Ref"/>
      <sheetName val="TBM Cost Pools v3 Ref"/>
      <sheetName val="ITIL v3 Ref"/>
      <sheetName val="ITIL V3-V4 Map"/>
      <sheetName val="ITIL v4 Ref"/>
      <sheetName val="Service Layers-Types Ref"/>
      <sheetName val="ACQ PSC-TBM-BOC-USSGL"/>
      <sheetName val="HCM Occptn-TBM-BOC-USSGL"/>
      <sheetName val="CMT-OMB BOC Mapping to CP"/>
      <sheetName val="FFM BOC-TBM Tower"/>
      <sheetName val="FFM USSGL-TBM Cost Pool "/>
      <sheetName val="BOC to Cost Pool Mapping"/>
      <sheetName val="PSC Ref 2018-06-21"/>
      <sheetName val="PSC Narratives"/>
      <sheetName val="Occupation Grp Series Title Ref"/>
      <sheetName val="Budget Object Class Code Ref"/>
      <sheetName val="USSGL Code Ref"/>
      <sheetName val="Federal BOC"/>
      <sheetName val="Mapping Codes"/>
      <sheetName val="References"/>
      <sheetName val="Federal Services Components - M"/>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ss-cut Functs"/>
      <sheetName val="Document Control"/>
      <sheetName val="Record Control"/>
      <sheetName val="Audit"/>
      <sheetName val="Corrective Action"/>
      <sheetName val="Complaint Feedback"/>
      <sheetName val="Management Reviews"/>
      <sheetName val="Control of NC"/>
      <sheetName val="Preventive Action"/>
      <sheetName val="Continual Improvement"/>
      <sheetName val="Training"/>
      <sheetName val="Master Document Lis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84E9F5-0B1B-4F96-B279-16C654C9E740}" name="ITTower6" displayName="ITTower6" ref="A9:E76" totalsRowShown="0" headerRowDxfId="6" dataDxfId="5">
  <autoFilter ref="A9:E76" xr:uid="{ABA61723-F86C-41FA-B687-DC30288D9D5A}"/>
  <tableColumns count="5">
    <tableColumn id="6" xr3:uid="{CC536385-7DB9-461C-9795-8819BF071928}" name="Tower ID" dataDxfId="4"/>
    <tableColumn id="2" xr3:uid="{8041F1E5-6A04-4920-BE66-B342B1A8A222}" name="Tower Name" dataDxfId="3"/>
    <tableColumn id="3" xr3:uid="{C7BC09E5-05CC-46F9-8019-E5536613D361}" name="Sub-Tower ID" dataDxfId="2"/>
    <tableColumn id="4" xr3:uid="{CCB641D3-2886-4F59-A159-75B95D890ACA}" name="Tower/Sub-Tower Name" dataDxfId="1"/>
    <tableColumn id="5" xr3:uid="{B62615F5-8A03-4BDA-AAAE-40C9DB348CF2}" name="Tower/Sub-Tower Descri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D19CD-B398-41E0-BCF7-31F0956E30C8}">
  <dimension ref="A1:AK45"/>
  <sheetViews>
    <sheetView tabSelected="1" zoomScale="80" zoomScaleNormal="80" workbookViewId="0">
      <selection activeCell="A19" sqref="A19:B19"/>
    </sheetView>
  </sheetViews>
  <sheetFormatPr defaultRowHeight="14.75" x14ac:dyDescent="0.75"/>
  <cols>
    <col min="1" max="25" width="5" customWidth="1"/>
    <col min="37" max="37" width="27.1328125" customWidth="1"/>
  </cols>
  <sheetData>
    <row r="1" spans="1:37" ht="21" x14ac:dyDescent="1">
      <c r="A1" s="183" t="s">
        <v>0</v>
      </c>
      <c r="B1" s="183"/>
      <c r="C1" s="184"/>
      <c r="D1" s="184"/>
      <c r="E1" s="184"/>
      <c r="F1" s="184"/>
      <c r="G1" s="182"/>
      <c r="H1" s="182"/>
      <c r="I1" s="182"/>
      <c r="J1" s="182"/>
      <c r="K1" s="182"/>
      <c r="L1" s="182"/>
      <c r="M1" s="182"/>
      <c r="N1" s="182"/>
      <c r="O1" s="182"/>
      <c r="P1" s="182"/>
      <c r="Q1" s="182"/>
      <c r="R1" s="182"/>
      <c r="S1" s="182"/>
      <c r="T1" s="182"/>
      <c r="U1" s="182"/>
      <c r="V1" s="182"/>
      <c r="W1" s="182"/>
      <c r="X1" s="182"/>
      <c r="Y1" s="154"/>
      <c r="Z1" s="182"/>
      <c r="AA1" s="182"/>
      <c r="AB1" s="182"/>
      <c r="AC1" s="182"/>
      <c r="AD1" s="182"/>
      <c r="AE1" s="182"/>
      <c r="AF1" s="182"/>
      <c r="AG1" s="182"/>
      <c r="AH1" s="182"/>
      <c r="AI1" s="182"/>
      <c r="AJ1" s="182"/>
      <c r="AK1" s="182"/>
    </row>
    <row r="2" spans="1:37" ht="16.399999999999999" customHeight="1" x14ac:dyDescent="0.75">
      <c r="A2" s="182"/>
      <c r="B2" s="182"/>
      <c r="C2" s="182"/>
      <c r="D2" s="182"/>
      <c r="E2" s="182"/>
      <c r="F2" s="182"/>
      <c r="G2" s="182"/>
      <c r="H2" s="182"/>
      <c r="I2" s="182"/>
      <c r="J2" s="182"/>
      <c r="K2" s="182"/>
      <c r="L2" s="182"/>
      <c r="M2" s="182"/>
      <c r="N2" s="182"/>
      <c r="O2" s="182"/>
      <c r="P2" s="182"/>
      <c r="Q2" s="182"/>
      <c r="R2" s="182"/>
      <c r="S2" s="182"/>
      <c r="T2" s="182"/>
      <c r="U2" s="182"/>
      <c r="V2" s="182"/>
      <c r="W2" s="182"/>
      <c r="X2" s="182"/>
      <c r="Y2" s="154"/>
      <c r="Z2" s="182"/>
      <c r="AA2" s="182"/>
      <c r="AB2" s="182"/>
      <c r="AC2" s="182"/>
      <c r="AD2" s="182"/>
      <c r="AE2" s="182"/>
      <c r="AF2" s="182"/>
      <c r="AG2" s="182"/>
      <c r="AH2" s="182"/>
      <c r="AI2" s="182"/>
      <c r="AJ2" s="182"/>
      <c r="AK2" s="182"/>
    </row>
    <row r="3" spans="1:37" x14ac:dyDescent="0.75">
      <c r="A3" s="185"/>
      <c r="B3" s="185"/>
      <c r="C3" s="184"/>
      <c r="D3" s="184"/>
      <c r="E3" s="184"/>
      <c r="F3" s="184"/>
      <c r="G3" s="184"/>
      <c r="H3" s="184"/>
      <c r="I3" s="184"/>
      <c r="J3" s="184"/>
      <c r="K3" s="184"/>
      <c r="L3" s="184"/>
      <c r="M3" s="184"/>
      <c r="N3" s="184"/>
      <c r="O3" s="184"/>
      <c r="P3" s="184"/>
      <c r="Q3" s="184"/>
      <c r="R3" s="184"/>
      <c r="S3" s="184"/>
      <c r="T3" s="184"/>
      <c r="U3" s="184"/>
      <c r="V3" s="184"/>
      <c r="W3" s="184"/>
      <c r="X3" s="184"/>
      <c r="Y3" s="184"/>
      <c r="Z3" s="182"/>
      <c r="AA3" s="182"/>
      <c r="AB3" s="182"/>
      <c r="AC3" s="182"/>
      <c r="AD3" s="182"/>
      <c r="AE3" s="182"/>
      <c r="AF3" s="182"/>
      <c r="AG3" s="182"/>
      <c r="AH3" s="182"/>
      <c r="AI3" s="182"/>
      <c r="AJ3" s="182"/>
      <c r="AK3" s="182"/>
    </row>
    <row r="4" spans="1:37" x14ac:dyDescent="0.75">
      <c r="A4" s="184"/>
      <c r="B4" s="184"/>
      <c r="C4" s="184"/>
      <c r="D4" s="184"/>
      <c r="E4" s="184"/>
      <c r="F4" s="184"/>
      <c r="G4" s="184"/>
      <c r="H4" s="184"/>
      <c r="I4" s="184"/>
      <c r="J4" s="184"/>
      <c r="K4" s="184"/>
      <c r="L4" s="184"/>
      <c r="M4" s="184"/>
      <c r="N4" s="184"/>
      <c r="O4" s="184"/>
      <c r="P4" s="184"/>
      <c r="Q4" s="184"/>
      <c r="R4" s="184"/>
      <c r="S4" s="184"/>
      <c r="T4" s="184"/>
      <c r="U4" s="184"/>
      <c r="V4" s="184"/>
      <c r="W4" s="184"/>
      <c r="X4" s="184"/>
      <c r="Y4" s="184"/>
      <c r="Z4" s="182"/>
      <c r="AA4" s="182"/>
      <c r="AB4" s="182"/>
      <c r="AC4" s="182"/>
      <c r="AD4" s="182"/>
      <c r="AE4" s="182"/>
      <c r="AF4" s="182"/>
      <c r="AG4" s="182"/>
      <c r="AH4" s="182"/>
      <c r="AI4" s="182"/>
      <c r="AJ4" s="182"/>
      <c r="AK4" s="182"/>
    </row>
    <row r="5" spans="1:37" x14ac:dyDescent="0.75">
      <c r="A5" s="184"/>
      <c r="B5" s="184"/>
      <c r="C5" s="184"/>
      <c r="D5" s="184"/>
      <c r="E5" s="184"/>
      <c r="F5" s="184"/>
      <c r="G5" s="184"/>
      <c r="H5" s="184"/>
      <c r="I5" s="184"/>
      <c r="J5" s="184"/>
      <c r="K5" s="184"/>
      <c r="L5" s="184"/>
      <c r="M5" s="184"/>
      <c r="N5" s="184"/>
      <c r="O5" s="184"/>
      <c r="P5" s="184"/>
      <c r="Q5" s="184"/>
      <c r="R5" s="184"/>
      <c r="S5" s="184"/>
      <c r="T5" s="184"/>
      <c r="U5" s="184"/>
      <c r="V5" s="184"/>
      <c r="W5" s="184"/>
      <c r="X5" s="184"/>
      <c r="Y5" s="184"/>
      <c r="Z5" s="182"/>
      <c r="AA5" s="182"/>
      <c r="AB5" s="182"/>
      <c r="AC5" s="182"/>
      <c r="AD5" s="182"/>
      <c r="AE5" s="182"/>
      <c r="AF5" s="182"/>
      <c r="AG5" s="182"/>
      <c r="AH5" s="182"/>
      <c r="AI5" s="182"/>
      <c r="AJ5" s="182"/>
      <c r="AK5" s="182"/>
    </row>
    <row r="6" spans="1:37" x14ac:dyDescent="0.75">
      <c r="A6" s="184"/>
      <c r="B6" s="184"/>
      <c r="C6" s="184"/>
      <c r="D6" s="184"/>
      <c r="E6" s="184"/>
      <c r="F6" s="184"/>
      <c r="G6" s="184"/>
      <c r="H6" s="184"/>
      <c r="I6" s="184"/>
      <c r="J6" s="184"/>
      <c r="K6" s="184"/>
      <c r="L6" s="184"/>
      <c r="M6" s="184"/>
      <c r="N6" s="184"/>
      <c r="O6" s="184"/>
      <c r="P6" s="184"/>
      <c r="Q6" s="184"/>
      <c r="R6" s="184"/>
      <c r="S6" s="184"/>
      <c r="T6" s="184"/>
      <c r="U6" s="184"/>
      <c r="V6" s="184"/>
      <c r="W6" s="184"/>
      <c r="X6" s="184"/>
      <c r="Y6" s="184"/>
      <c r="Z6" s="182"/>
      <c r="AA6" s="182"/>
      <c r="AB6" s="182"/>
      <c r="AC6" s="182"/>
      <c r="AD6" s="182"/>
      <c r="AE6" s="182"/>
      <c r="AF6" s="182"/>
      <c r="AG6" s="182"/>
      <c r="AH6" s="182"/>
      <c r="AI6" s="182"/>
      <c r="AJ6" s="182"/>
      <c r="AK6" s="182"/>
    </row>
    <row r="7" spans="1:37" x14ac:dyDescent="0.75">
      <c r="A7" s="184"/>
      <c r="B7" s="184"/>
      <c r="C7" s="184"/>
      <c r="D7" s="184"/>
      <c r="E7" s="184"/>
      <c r="F7" s="184"/>
      <c r="G7" s="184"/>
      <c r="H7" s="184"/>
      <c r="I7" s="184"/>
      <c r="J7" s="184"/>
      <c r="K7" s="184"/>
      <c r="L7" s="184"/>
      <c r="M7" s="184"/>
      <c r="N7" s="184"/>
      <c r="O7" s="184"/>
      <c r="P7" s="184"/>
      <c r="Q7" s="184"/>
      <c r="R7" s="184"/>
      <c r="S7" s="184"/>
      <c r="T7" s="184"/>
      <c r="U7" s="184"/>
      <c r="V7" s="184"/>
      <c r="W7" s="184"/>
      <c r="X7" s="184"/>
      <c r="Y7" s="184"/>
      <c r="Z7" s="182"/>
      <c r="AA7" s="182"/>
      <c r="AB7" s="182"/>
      <c r="AC7" s="182"/>
      <c r="AD7" s="182"/>
      <c r="AE7" s="182"/>
      <c r="AF7" s="182"/>
      <c r="AG7" s="182"/>
      <c r="AH7" s="182"/>
      <c r="AI7" s="182"/>
      <c r="AJ7" s="182"/>
      <c r="AK7" s="182"/>
    </row>
    <row r="8" spans="1:37" x14ac:dyDescent="0.75">
      <c r="A8" s="184"/>
      <c r="B8" s="184"/>
      <c r="C8" s="184"/>
      <c r="D8" s="184"/>
      <c r="E8" s="184"/>
      <c r="F8" s="184"/>
      <c r="G8" s="184"/>
      <c r="H8" s="184"/>
      <c r="I8" s="184"/>
      <c r="J8" s="184"/>
      <c r="K8" s="184"/>
      <c r="L8" s="184"/>
      <c r="M8" s="184"/>
      <c r="N8" s="184"/>
      <c r="O8" s="184"/>
      <c r="P8" s="184"/>
      <c r="Q8" s="184"/>
      <c r="R8" s="184"/>
      <c r="S8" s="184"/>
      <c r="T8" s="184"/>
      <c r="U8" s="184"/>
      <c r="V8" s="184"/>
      <c r="W8" s="184"/>
      <c r="X8" s="184"/>
      <c r="Y8" s="184"/>
      <c r="Z8" s="182"/>
      <c r="AA8" s="182"/>
      <c r="AB8" s="182"/>
      <c r="AC8" s="182"/>
      <c r="AD8" s="182"/>
      <c r="AE8" s="182"/>
      <c r="AF8" s="182"/>
      <c r="AG8" s="182"/>
      <c r="AH8" s="182"/>
      <c r="AI8" s="182"/>
      <c r="AJ8" s="182"/>
      <c r="AK8" s="182"/>
    </row>
    <row r="9" spans="1:37" x14ac:dyDescent="0.75">
      <c r="A9" s="184"/>
      <c r="B9" s="184"/>
      <c r="C9" s="184"/>
      <c r="D9" s="184"/>
      <c r="E9" s="184"/>
      <c r="F9" s="184"/>
      <c r="G9" s="184"/>
      <c r="H9" s="184"/>
      <c r="I9" s="184"/>
      <c r="J9" s="184"/>
      <c r="K9" s="184"/>
      <c r="L9" s="184"/>
      <c r="M9" s="184"/>
      <c r="N9" s="184"/>
      <c r="O9" s="184"/>
      <c r="P9" s="184"/>
      <c r="Q9" s="184"/>
      <c r="R9" s="184"/>
      <c r="S9" s="184"/>
      <c r="T9" s="184"/>
      <c r="U9" s="184"/>
      <c r="V9" s="184"/>
      <c r="W9" s="184"/>
      <c r="X9" s="184"/>
      <c r="Y9" s="184"/>
      <c r="Z9" s="182"/>
      <c r="AA9" s="182"/>
      <c r="AB9" s="182"/>
      <c r="AC9" s="182"/>
      <c r="AD9" s="182"/>
      <c r="AE9" s="182"/>
      <c r="AF9" s="182"/>
      <c r="AG9" s="182"/>
      <c r="AH9" s="182"/>
      <c r="AI9" s="182"/>
      <c r="AJ9" s="182"/>
      <c r="AK9" s="182"/>
    </row>
    <row r="10" spans="1:37" x14ac:dyDescent="0.75">
      <c r="A10" s="184"/>
      <c r="B10" s="184"/>
      <c r="C10" s="184"/>
      <c r="D10" s="184"/>
      <c r="E10" s="184"/>
      <c r="F10" s="184"/>
      <c r="G10" s="184"/>
      <c r="H10" s="184"/>
      <c r="I10" s="184"/>
      <c r="J10" s="184"/>
      <c r="K10" s="184"/>
      <c r="L10" s="184"/>
      <c r="M10" s="184"/>
      <c r="N10" s="184"/>
      <c r="O10" s="184"/>
      <c r="P10" s="184"/>
      <c r="Q10" s="184"/>
      <c r="R10" s="184"/>
      <c r="S10" s="184"/>
      <c r="T10" s="184"/>
      <c r="U10" s="184"/>
      <c r="V10" s="184"/>
      <c r="W10" s="184"/>
      <c r="X10" s="184"/>
      <c r="Y10" s="184"/>
      <c r="Z10" s="182"/>
      <c r="AA10" s="182"/>
      <c r="AB10" s="182"/>
      <c r="AC10" s="182"/>
      <c r="AD10" s="182"/>
      <c r="AE10" s="182"/>
      <c r="AF10" s="182"/>
      <c r="AG10" s="182"/>
      <c r="AH10" s="182"/>
      <c r="AI10" s="182"/>
      <c r="AJ10" s="182"/>
      <c r="AK10" s="182"/>
    </row>
    <row r="11" spans="1:37" x14ac:dyDescent="0.75">
      <c r="A11" s="182"/>
      <c r="B11" s="182"/>
      <c r="C11" s="182"/>
      <c r="D11" s="182"/>
      <c r="E11" s="182"/>
      <c r="F11" s="182"/>
      <c r="G11" s="182"/>
      <c r="H11" s="182"/>
      <c r="I11" s="182"/>
      <c r="J11" s="182"/>
      <c r="K11" s="182"/>
      <c r="L11" s="182"/>
      <c r="M11" s="182"/>
      <c r="N11" s="182"/>
      <c r="O11" s="182"/>
      <c r="P11" s="182"/>
      <c r="Q11" s="182"/>
      <c r="R11" s="182"/>
      <c r="S11" s="182"/>
      <c r="T11" s="182"/>
      <c r="U11" s="182"/>
      <c r="V11" s="182"/>
      <c r="W11" s="182"/>
      <c r="X11" s="182"/>
      <c r="Y11" s="154"/>
      <c r="Z11" s="182"/>
      <c r="AA11" s="182"/>
      <c r="AB11" s="182"/>
      <c r="AC11" s="182"/>
      <c r="AD11" s="182"/>
      <c r="AE11" s="182"/>
      <c r="AF11" s="182"/>
      <c r="AG11" s="182"/>
      <c r="AH11" s="182"/>
      <c r="AI11" s="182"/>
      <c r="AJ11" s="182"/>
      <c r="AK11" s="182"/>
    </row>
    <row r="12" spans="1:37" x14ac:dyDescent="0.75">
      <c r="A12" s="187" t="s">
        <v>1</v>
      </c>
      <c r="B12" s="187"/>
      <c r="C12" s="187"/>
      <c r="D12" s="187"/>
      <c r="E12" s="187"/>
      <c r="F12" s="187"/>
      <c r="G12" s="187"/>
      <c r="H12" s="187"/>
      <c r="I12" s="187"/>
      <c r="J12" s="187"/>
      <c r="K12" s="187"/>
      <c r="L12" s="187"/>
      <c r="M12" s="187"/>
      <c r="N12" s="187"/>
      <c r="O12" s="187"/>
      <c r="P12" s="184"/>
      <c r="Q12" s="184"/>
      <c r="R12" s="184"/>
      <c r="S12" s="184"/>
      <c r="T12" s="184"/>
      <c r="U12" s="184"/>
      <c r="V12" s="184"/>
      <c r="W12" s="184"/>
      <c r="X12" s="188"/>
      <c r="Y12" s="188"/>
      <c r="Z12" s="182"/>
      <c r="AA12" s="182"/>
      <c r="AB12" s="182"/>
      <c r="AC12" s="182"/>
      <c r="AD12" s="182"/>
      <c r="AE12" s="182"/>
      <c r="AF12" s="182"/>
      <c r="AG12" s="182"/>
      <c r="AH12" s="182"/>
      <c r="AI12" s="182"/>
      <c r="AJ12" s="182"/>
      <c r="AK12" s="182"/>
    </row>
    <row r="13" spans="1:37" x14ac:dyDescent="0.75">
      <c r="A13" s="187"/>
      <c r="B13" s="187"/>
      <c r="C13" s="187"/>
      <c r="D13" s="187"/>
      <c r="E13" s="187"/>
      <c r="F13" s="187"/>
      <c r="G13" s="187"/>
      <c r="H13" s="187"/>
      <c r="I13" s="187"/>
      <c r="J13" s="187"/>
      <c r="K13" s="187"/>
      <c r="L13" s="187"/>
      <c r="M13" s="187"/>
      <c r="N13" s="187"/>
      <c r="O13" s="187"/>
      <c r="P13" s="184"/>
      <c r="Q13" s="184"/>
      <c r="R13" s="184"/>
      <c r="S13" s="184"/>
      <c r="T13" s="184"/>
      <c r="U13" s="184"/>
      <c r="V13" s="184"/>
      <c r="W13" s="184"/>
      <c r="X13" s="188"/>
      <c r="Y13" s="188"/>
      <c r="Z13" s="182"/>
      <c r="AA13" s="182"/>
      <c r="AB13" s="182"/>
      <c r="AC13" s="182"/>
      <c r="AD13" s="182"/>
      <c r="AE13" s="182"/>
      <c r="AF13" s="182"/>
      <c r="AG13" s="182"/>
      <c r="AH13" s="182"/>
      <c r="AI13" s="182"/>
      <c r="AJ13" s="182"/>
      <c r="AK13" s="182"/>
    </row>
    <row r="14" spans="1:37" x14ac:dyDescent="0.75">
      <c r="A14" s="187"/>
      <c r="B14" s="187"/>
      <c r="C14" s="187"/>
      <c r="D14" s="187"/>
      <c r="E14" s="187"/>
      <c r="F14" s="187"/>
      <c r="G14" s="187"/>
      <c r="H14" s="187"/>
      <c r="I14" s="187"/>
      <c r="J14" s="187"/>
      <c r="K14" s="187"/>
      <c r="L14" s="187"/>
      <c r="M14" s="187"/>
      <c r="N14" s="187"/>
      <c r="O14" s="187"/>
      <c r="P14" s="184"/>
      <c r="Q14" s="184"/>
      <c r="R14" s="184"/>
      <c r="S14" s="184"/>
      <c r="T14" s="184"/>
      <c r="U14" s="184"/>
      <c r="V14" s="184"/>
      <c r="W14" s="184"/>
      <c r="X14" s="188"/>
      <c r="Y14" s="188"/>
      <c r="Z14" s="182"/>
      <c r="AA14" s="182"/>
      <c r="AB14" s="182"/>
      <c r="AC14" s="182"/>
      <c r="AD14" s="182"/>
      <c r="AE14" s="182"/>
      <c r="AF14" s="182"/>
      <c r="AG14" s="182"/>
      <c r="AH14" s="182"/>
      <c r="AI14" s="182"/>
      <c r="AJ14" s="182"/>
      <c r="AK14" s="182"/>
    </row>
    <row r="15" spans="1:37" x14ac:dyDescent="0.75">
      <c r="A15" s="187"/>
      <c r="B15" s="187"/>
      <c r="C15" s="187"/>
      <c r="D15" s="187"/>
      <c r="E15" s="187"/>
      <c r="F15" s="187"/>
      <c r="G15" s="187"/>
      <c r="H15" s="187"/>
      <c r="I15" s="187"/>
      <c r="J15" s="187"/>
      <c r="K15" s="187"/>
      <c r="L15" s="187"/>
      <c r="M15" s="187"/>
      <c r="N15" s="187"/>
      <c r="O15" s="187"/>
      <c r="P15" s="184"/>
      <c r="Q15" s="184"/>
      <c r="R15" s="184"/>
      <c r="S15" s="184"/>
      <c r="T15" s="184"/>
      <c r="U15" s="184"/>
      <c r="V15" s="184"/>
      <c r="W15" s="184"/>
      <c r="X15" s="188"/>
      <c r="Y15" s="188"/>
      <c r="Z15" s="182"/>
      <c r="AA15" s="182"/>
      <c r="AB15" s="182"/>
      <c r="AC15" s="182"/>
      <c r="AD15" s="182"/>
      <c r="AE15" s="182"/>
      <c r="AF15" s="182"/>
      <c r="AG15" s="182"/>
      <c r="AH15" s="182"/>
      <c r="AI15" s="182"/>
      <c r="AJ15" s="182"/>
      <c r="AK15" s="182"/>
    </row>
    <row r="16" spans="1:37" x14ac:dyDescent="0.75">
      <c r="A16" s="190" t="s">
        <v>2</v>
      </c>
      <c r="B16" s="190"/>
      <c r="C16" s="190"/>
      <c r="D16" s="190"/>
      <c r="E16" s="190"/>
      <c r="F16" s="190"/>
      <c r="G16" s="190"/>
      <c r="H16" s="190"/>
      <c r="I16" s="190"/>
      <c r="J16" s="182"/>
      <c r="K16" s="182"/>
      <c r="L16" s="182"/>
      <c r="M16" s="182"/>
      <c r="N16" s="182"/>
      <c r="O16" s="182"/>
      <c r="P16" s="182"/>
      <c r="Q16" s="182"/>
      <c r="R16" s="182"/>
      <c r="S16" s="182"/>
      <c r="T16" s="182"/>
      <c r="U16" s="182"/>
      <c r="V16" s="182"/>
      <c r="W16" s="182"/>
      <c r="X16" s="182"/>
      <c r="Y16" s="182"/>
      <c r="Z16" s="182"/>
      <c r="AA16" s="182"/>
      <c r="AB16" s="182"/>
      <c r="AC16" s="182"/>
      <c r="AD16" s="182"/>
      <c r="AE16" s="182"/>
      <c r="AF16" s="182"/>
      <c r="AG16" s="182"/>
      <c r="AH16" s="182"/>
      <c r="AI16" s="182"/>
      <c r="AJ16" s="182"/>
      <c r="AK16" s="182"/>
    </row>
    <row r="17" spans="1:37" x14ac:dyDescent="0.75">
      <c r="A17" s="190"/>
      <c r="B17" s="190"/>
      <c r="C17" s="190"/>
      <c r="D17" s="190"/>
      <c r="E17" s="190"/>
      <c r="F17" s="190"/>
      <c r="G17" s="190"/>
      <c r="H17" s="190"/>
      <c r="I17" s="190"/>
      <c r="J17" s="182"/>
      <c r="K17" s="182"/>
      <c r="L17" s="182"/>
      <c r="M17" s="182"/>
      <c r="N17" s="182"/>
      <c r="O17" s="182"/>
      <c r="P17" s="182"/>
      <c r="Q17" s="182"/>
      <c r="R17" s="182"/>
      <c r="S17" s="182"/>
      <c r="T17" s="182"/>
      <c r="U17" s="182"/>
      <c r="V17" s="182"/>
      <c r="W17" s="182"/>
      <c r="X17" s="182"/>
      <c r="Y17" s="182"/>
      <c r="Z17" s="182"/>
      <c r="AA17" s="182"/>
      <c r="AB17" s="182"/>
      <c r="AC17" s="182"/>
      <c r="AD17" s="182"/>
      <c r="AE17" s="182"/>
      <c r="AF17" s="182"/>
      <c r="AG17" s="182"/>
      <c r="AH17" s="182"/>
      <c r="AI17" s="182"/>
      <c r="AJ17" s="182"/>
      <c r="AK17" s="182"/>
    </row>
    <row r="18" spans="1:37" x14ac:dyDescent="0.75">
      <c r="A18" s="190"/>
      <c r="B18" s="190"/>
      <c r="C18" s="190"/>
      <c r="D18" s="190"/>
      <c r="E18" s="190"/>
      <c r="F18" s="190"/>
      <c r="G18" s="190"/>
      <c r="H18" s="190"/>
      <c r="I18" s="190"/>
      <c r="J18" s="182"/>
      <c r="K18" s="182"/>
      <c r="L18" s="182"/>
      <c r="M18" s="182"/>
      <c r="N18" s="182"/>
      <c r="O18" s="182"/>
      <c r="P18" s="182"/>
      <c r="Q18" s="182"/>
      <c r="R18" s="182"/>
      <c r="S18" s="182"/>
      <c r="T18" s="182"/>
      <c r="U18" s="182"/>
      <c r="V18" s="182"/>
      <c r="W18" s="182"/>
      <c r="X18" s="182"/>
      <c r="Y18" s="182"/>
      <c r="Z18" s="182"/>
      <c r="AA18" s="182"/>
      <c r="AB18" s="182"/>
      <c r="AC18" s="182"/>
      <c r="AD18" s="182"/>
      <c r="AE18" s="182"/>
      <c r="AF18" s="182"/>
      <c r="AG18" s="182"/>
      <c r="AH18" s="182"/>
      <c r="AI18" s="182"/>
      <c r="AJ18" s="182"/>
      <c r="AK18" s="182"/>
    </row>
    <row r="19" spans="1:37" ht="28.5" customHeight="1" x14ac:dyDescent="0.75">
      <c r="A19" s="182"/>
      <c r="B19" s="182"/>
      <c r="C19" s="182"/>
      <c r="D19" s="182"/>
      <c r="E19" s="182"/>
      <c r="F19" s="182"/>
      <c r="G19" s="186" t="s">
        <v>0</v>
      </c>
      <c r="H19" s="186"/>
      <c r="I19" s="186"/>
      <c r="J19" s="186"/>
      <c r="K19" s="186"/>
      <c r="L19" s="186"/>
      <c r="M19" s="186"/>
      <c r="N19" s="186"/>
      <c r="O19" s="186"/>
      <c r="P19" s="186"/>
      <c r="Q19" s="186"/>
      <c r="R19" s="186"/>
      <c r="S19" s="186"/>
      <c r="T19" s="186"/>
      <c r="U19" s="186"/>
      <c r="V19" s="186"/>
      <c r="W19" s="186"/>
      <c r="X19" s="186"/>
      <c r="Y19" s="186"/>
      <c r="Z19" s="182"/>
      <c r="AA19" s="182"/>
      <c r="AB19" s="182"/>
      <c r="AC19" s="182"/>
      <c r="AD19" s="182"/>
      <c r="AE19" s="182"/>
      <c r="AF19" s="182"/>
      <c r="AG19" s="182"/>
      <c r="AH19" s="182"/>
      <c r="AI19" s="182"/>
      <c r="AJ19" s="182"/>
      <c r="AK19" s="182"/>
    </row>
    <row r="20" spans="1:37" ht="174" customHeight="1" x14ac:dyDescent="0.75">
      <c r="A20" s="182"/>
      <c r="B20" s="182"/>
      <c r="C20" s="182"/>
      <c r="D20" s="182"/>
      <c r="E20" s="182"/>
      <c r="F20" s="182"/>
      <c r="G20" s="189" t="s">
        <v>3</v>
      </c>
      <c r="H20" s="189"/>
      <c r="I20" s="189"/>
      <c r="J20" s="189"/>
      <c r="K20" s="189"/>
      <c r="L20" s="189"/>
      <c r="M20" s="189"/>
      <c r="N20" s="189"/>
      <c r="O20" s="189"/>
      <c r="P20" s="189"/>
      <c r="Q20" s="189"/>
      <c r="R20" s="189"/>
      <c r="S20" s="189"/>
      <c r="T20" s="189"/>
      <c r="U20" s="189"/>
      <c r="V20" s="189"/>
      <c r="W20" s="189"/>
      <c r="X20" s="189"/>
      <c r="Y20" s="189"/>
      <c r="Z20" s="182"/>
      <c r="AA20" s="182"/>
      <c r="AB20" s="182"/>
      <c r="AC20" s="182"/>
      <c r="AD20" s="182"/>
      <c r="AE20" s="182"/>
      <c r="AF20" s="182"/>
      <c r="AG20" s="182"/>
      <c r="AH20" s="182"/>
      <c r="AI20" s="182"/>
      <c r="AJ20" s="182"/>
      <c r="AK20" s="182"/>
    </row>
    <row r="21" spans="1:37" x14ac:dyDescent="0.75">
      <c r="A21" s="182"/>
      <c r="B21" s="182"/>
      <c r="C21" s="182"/>
      <c r="D21" s="182"/>
      <c r="E21" s="182"/>
      <c r="F21" s="182"/>
      <c r="G21" s="182"/>
      <c r="H21" s="182"/>
      <c r="I21" s="182"/>
      <c r="J21" s="182"/>
      <c r="K21" s="182"/>
      <c r="L21" s="182"/>
      <c r="M21" s="182"/>
      <c r="N21" s="182"/>
      <c r="O21" s="182"/>
      <c r="P21" s="182"/>
      <c r="Q21" s="182"/>
      <c r="R21" s="182"/>
      <c r="S21" s="182"/>
      <c r="T21" s="182"/>
      <c r="U21" s="182"/>
      <c r="V21" s="182"/>
      <c r="W21" s="182"/>
      <c r="X21" s="182"/>
      <c r="Y21" s="154"/>
      <c r="Z21" s="182"/>
      <c r="AA21" s="182"/>
      <c r="AB21" s="182"/>
      <c r="AC21" s="182"/>
      <c r="AD21" s="182"/>
      <c r="AE21" s="182"/>
      <c r="AF21" s="182"/>
      <c r="AG21" s="182"/>
      <c r="AH21" s="182"/>
      <c r="AI21" s="182"/>
      <c r="AJ21" s="182"/>
      <c r="AK21" s="182"/>
    </row>
    <row r="22" spans="1:37" x14ac:dyDescent="0.75">
      <c r="A22" s="182"/>
      <c r="B22" s="182"/>
      <c r="C22" s="182"/>
      <c r="D22" s="182"/>
      <c r="E22" s="182"/>
      <c r="F22" s="182"/>
      <c r="G22" s="182"/>
      <c r="H22" s="182"/>
      <c r="I22" s="182"/>
      <c r="J22" s="182"/>
      <c r="K22" s="182"/>
      <c r="L22" s="182"/>
      <c r="M22" s="182"/>
      <c r="N22" s="182"/>
      <c r="O22" s="182"/>
      <c r="P22" s="182"/>
      <c r="Q22" s="182"/>
      <c r="R22" s="182"/>
      <c r="S22" s="182"/>
      <c r="T22" s="182"/>
      <c r="U22" s="182"/>
      <c r="V22" s="182"/>
      <c r="W22" s="182"/>
      <c r="X22" s="182"/>
      <c r="Y22" s="182"/>
      <c r="Z22" s="182"/>
      <c r="AA22" s="182"/>
      <c r="AB22" s="182"/>
      <c r="AC22" s="182"/>
      <c r="AD22" s="182"/>
      <c r="AE22" s="182"/>
      <c r="AF22" s="182"/>
      <c r="AG22" s="182"/>
      <c r="AH22" s="182"/>
      <c r="AI22" s="182"/>
      <c r="AJ22" s="182"/>
      <c r="AK22" s="174"/>
    </row>
    <row r="23" spans="1:37" x14ac:dyDescent="0.75">
      <c r="A23" s="182"/>
      <c r="B23" s="182"/>
      <c r="C23" s="182"/>
      <c r="D23" s="182"/>
      <c r="E23" s="182"/>
      <c r="F23" s="182"/>
      <c r="G23" s="182"/>
      <c r="H23" s="182"/>
      <c r="I23" s="182"/>
      <c r="J23" s="182"/>
      <c r="K23" s="182"/>
      <c r="L23" s="182"/>
      <c r="M23" s="182"/>
      <c r="N23" s="182"/>
      <c r="O23" s="182"/>
      <c r="P23" s="182"/>
      <c r="Q23" s="182"/>
      <c r="R23" s="182"/>
      <c r="S23" s="182"/>
      <c r="T23" s="182"/>
      <c r="U23" s="182"/>
      <c r="V23" s="182"/>
      <c r="W23" s="182"/>
      <c r="X23" s="182"/>
      <c r="Y23" s="182"/>
      <c r="Z23" s="182"/>
      <c r="AA23" s="182"/>
      <c r="AB23" s="182"/>
      <c r="AC23" s="182"/>
      <c r="AD23" s="182"/>
      <c r="AE23" s="182"/>
      <c r="AF23" s="182"/>
      <c r="AG23" s="182"/>
      <c r="AH23" s="182"/>
      <c r="AI23" s="182"/>
      <c r="AJ23" s="182"/>
      <c r="AK23" s="174"/>
    </row>
    <row r="24" spans="1:37" x14ac:dyDescent="0.75">
      <c r="A24" s="182"/>
      <c r="B24" s="182"/>
      <c r="C24" s="182"/>
      <c r="D24" s="182"/>
      <c r="E24" s="182"/>
      <c r="F24" s="182"/>
      <c r="G24" s="182"/>
      <c r="H24" s="182"/>
      <c r="I24" s="182"/>
      <c r="J24" s="182"/>
      <c r="K24" s="182"/>
      <c r="L24" s="182"/>
      <c r="M24" s="182"/>
      <c r="N24" s="182"/>
      <c r="O24" s="182"/>
      <c r="P24" s="182"/>
      <c r="Q24" s="182"/>
      <c r="R24" s="182"/>
      <c r="S24" s="182"/>
      <c r="T24" s="182"/>
      <c r="U24" s="182"/>
      <c r="V24" s="182"/>
      <c r="W24" s="182"/>
      <c r="X24" s="182"/>
      <c r="Y24" s="182"/>
      <c r="Z24" s="182"/>
      <c r="AA24" s="182"/>
      <c r="AB24" s="182"/>
      <c r="AC24" s="182"/>
      <c r="AD24" s="182"/>
      <c r="AE24" s="182"/>
      <c r="AF24" s="182"/>
      <c r="AG24" s="182"/>
      <c r="AH24" s="182"/>
      <c r="AI24" s="182"/>
      <c r="AJ24" s="182"/>
      <c r="AK24" s="174"/>
    </row>
    <row r="25" spans="1:37" x14ac:dyDescent="0.75">
      <c r="A25" s="182"/>
      <c r="B25" s="182"/>
      <c r="C25" s="182"/>
      <c r="D25" s="182"/>
      <c r="E25" s="182"/>
      <c r="F25" s="182"/>
      <c r="G25" s="182"/>
      <c r="H25" s="182"/>
      <c r="I25" s="182"/>
      <c r="J25" s="182"/>
      <c r="K25" s="182"/>
      <c r="L25" s="182"/>
      <c r="M25" s="182"/>
      <c r="N25" s="182"/>
      <c r="O25" s="182"/>
      <c r="P25" s="182"/>
      <c r="Q25" s="182"/>
      <c r="R25" s="182"/>
      <c r="S25" s="182"/>
      <c r="T25" s="182"/>
      <c r="U25" s="182"/>
      <c r="V25" s="182"/>
      <c r="W25" s="182"/>
      <c r="X25" s="182"/>
      <c r="Y25" s="182"/>
      <c r="Z25" s="182"/>
      <c r="AA25" s="182"/>
      <c r="AB25" s="182"/>
      <c r="AC25" s="182"/>
      <c r="AD25" s="182"/>
      <c r="AE25" s="182"/>
      <c r="AF25" s="182"/>
      <c r="AG25" s="182"/>
      <c r="AH25" s="182"/>
      <c r="AI25" s="182"/>
      <c r="AJ25" s="182"/>
      <c r="AK25" s="174"/>
    </row>
    <row r="26" spans="1:37" x14ac:dyDescent="0.75">
      <c r="A26" s="182"/>
      <c r="B26" s="182"/>
      <c r="C26" s="182"/>
      <c r="D26" s="182"/>
      <c r="E26" s="182"/>
      <c r="F26" s="182"/>
      <c r="G26" s="182"/>
      <c r="H26" s="182"/>
      <c r="I26" s="182"/>
      <c r="J26" s="182"/>
      <c r="K26" s="182"/>
      <c r="L26" s="182"/>
      <c r="M26" s="182"/>
      <c r="N26" s="182"/>
      <c r="O26" s="182"/>
      <c r="P26" s="182"/>
      <c r="Q26" s="182"/>
      <c r="R26" s="182"/>
      <c r="S26" s="182"/>
      <c r="T26" s="182"/>
      <c r="U26" s="182"/>
      <c r="V26" s="182"/>
      <c r="W26" s="182"/>
      <c r="X26" s="182"/>
      <c r="Y26" s="182"/>
      <c r="Z26" s="182"/>
      <c r="AA26" s="182"/>
      <c r="AB26" s="182"/>
      <c r="AC26" s="182"/>
      <c r="AD26" s="182"/>
      <c r="AE26" s="182"/>
      <c r="AF26" s="182"/>
      <c r="AG26" s="182"/>
      <c r="AH26" s="182"/>
      <c r="AI26" s="182"/>
      <c r="AJ26" s="182"/>
      <c r="AK26" s="174"/>
    </row>
    <row r="27" spans="1:37" x14ac:dyDescent="0.75">
      <c r="A27" s="182"/>
      <c r="B27" s="182"/>
      <c r="C27" s="182"/>
      <c r="D27" s="182"/>
      <c r="E27" s="182"/>
      <c r="F27" s="182"/>
      <c r="G27" s="182"/>
      <c r="H27" s="182"/>
      <c r="I27" s="182"/>
      <c r="J27" s="182"/>
      <c r="K27" s="182"/>
      <c r="L27" s="182"/>
      <c r="M27" s="182"/>
      <c r="N27" s="182"/>
      <c r="O27" s="182"/>
      <c r="P27" s="182"/>
      <c r="Q27" s="182"/>
      <c r="R27" s="182"/>
      <c r="S27" s="182"/>
      <c r="T27" s="182"/>
      <c r="U27" s="182"/>
      <c r="V27" s="182"/>
      <c r="W27" s="182"/>
      <c r="X27" s="182"/>
      <c r="Y27" s="182"/>
      <c r="Z27" s="182"/>
      <c r="AA27" s="182"/>
      <c r="AB27" s="182"/>
      <c r="AC27" s="182"/>
      <c r="AD27" s="182"/>
      <c r="AE27" s="182"/>
      <c r="AF27" s="182"/>
      <c r="AG27" s="182"/>
      <c r="AH27" s="182"/>
      <c r="AI27" s="182"/>
      <c r="AJ27" s="182"/>
      <c r="AK27" s="174"/>
    </row>
    <row r="28" spans="1:37" x14ac:dyDescent="0.75">
      <c r="A28" s="182"/>
      <c r="B28" s="182"/>
      <c r="C28" s="182"/>
      <c r="D28" s="182"/>
      <c r="E28" s="182"/>
      <c r="F28" s="182"/>
      <c r="G28" s="182"/>
      <c r="H28" s="182"/>
      <c r="I28" s="182"/>
      <c r="J28" s="182"/>
      <c r="K28" s="182"/>
      <c r="L28" s="182"/>
      <c r="M28" s="182"/>
      <c r="N28" s="182"/>
      <c r="O28" s="182"/>
      <c r="P28" s="182"/>
      <c r="Q28" s="182"/>
      <c r="R28" s="182"/>
      <c r="S28" s="182"/>
      <c r="T28" s="182"/>
      <c r="U28" s="182"/>
      <c r="V28" s="182"/>
      <c r="W28" s="182"/>
      <c r="X28" s="182"/>
      <c r="Y28" s="182"/>
      <c r="Z28" s="182"/>
      <c r="AA28" s="182"/>
      <c r="AB28" s="182"/>
      <c r="AC28" s="182"/>
      <c r="AD28" s="182"/>
      <c r="AE28" s="182"/>
      <c r="AF28" s="182"/>
      <c r="AG28" s="182"/>
      <c r="AH28" s="182"/>
      <c r="AI28" s="182"/>
      <c r="AJ28" s="182"/>
      <c r="AK28" s="174"/>
    </row>
    <row r="29" spans="1:37" x14ac:dyDescent="0.75">
      <c r="A29" s="182"/>
      <c r="B29" s="182"/>
      <c r="C29" s="182"/>
      <c r="D29" s="182"/>
      <c r="E29" s="182"/>
      <c r="F29" s="182"/>
      <c r="G29" s="182"/>
      <c r="H29" s="182"/>
      <c r="I29" s="182"/>
      <c r="J29" s="182"/>
      <c r="K29" s="182"/>
      <c r="L29" s="182"/>
      <c r="M29" s="182"/>
      <c r="N29" s="182"/>
      <c r="O29" s="182"/>
      <c r="P29" s="182"/>
      <c r="Q29" s="182"/>
      <c r="R29" s="182"/>
      <c r="S29" s="182"/>
      <c r="T29" s="182"/>
      <c r="U29" s="182"/>
      <c r="V29" s="182"/>
      <c r="W29" s="182"/>
      <c r="X29" s="182"/>
      <c r="Y29" s="182"/>
      <c r="Z29" s="182"/>
      <c r="AA29" s="182"/>
      <c r="AB29" s="182"/>
      <c r="AC29" s="182"/>
      <c r="AD29" s="182"/>
      <c r="AE29" s="182"/>
      <c r="AF29" s="182"/>
      <c r="AG29" s="182"/>
      <c r="AH29" s="182"/>
      <c r="AI29" s="182"/>
      <c r="AJ29" s="182"/>
      <c r="AK29" s="174"/>
    </row>
    <row r="30" spans="1:37" x14ac:dyDescent="0.75">
      <c r="A30" s="182"/>
      <c r="B30" s="182"/>
      <c r="C30" s="182"/>
      <c r="D30" s="182"/>
      <c r="E30" s="182"/>
      <c r="F30" s="182"/>
      <c r="G30" s="182"/>
      <c r="H30" s="182"/>
      <c r="I30" s="182"/>
      <c r="J30" s="182"/>
      <c r="K30" s="182"/>
      <c r="L30" s="182"/>
      <c r="M30" s="182"/>
      <c r="N30" s="182"/>
      <c r="O30" s="182"/>
      <c r="P30" s="182"/>
      <c r="Q30" s="182"/>
      <c r="R30" s="182"/>
      <c r="S30" s="182"/>
      <c r="T30" s="182"/>
      <c r="U30" s="182"/>
      <c r="V30" s="182"/>
      <c r="W30" s="182"/>
      <c r="X30" s="182"/>
      <c r="Y30" s="182"/>
      <c r="Z30" s="182"/>
      <c r="AA30" s="182"/>
      <c r="AB30" s="182"/>
      <c r="AC30" s="182"/>
      <c r="AD30" s="182"/>
      <c r="AE30" s="182"/>
      <c r="AF30" s="182"/>
      <c r="AG30" s="182"/>
      <c r="AH30" s="182"/>
      <c r="AI30" s="182"/>
      <c r="AJ30" s="182"/>
      <c r="AK30" s="174"/>
    </row>
    <row r="31" spans="1:37" x14ac:dyDescent="0.75">
      <c r="A31" s="182"/>
      <c r="B31" s="182"/>
      <c r="C31" s="182"/>
      <c r="D31" s="182"/>
      <c r="E31" s="182"/>
      <c r="F31" s="182"/>
      <c r="G31" s="182"/>
      <c r="H31" s="182"/>
      <c r="I31" s="182"/>
      <c r="J31" s="182"/>
      <c r="K31" s="182"/>
      <c r="L31" s="182"/>
      <c r="M31" s="182"/>
      <c r="N31" s="182"/>
      <c r="O31" s="182"/>
      <c r="P31" s="182"/>
      <c r="Q31" s="182"/>
      <c r="R31" s="182"/>
      <c r="S31" s="182"/>
      <c r="T31" s="182"/>
      <c r="U31" s="182"/>
      <c r="V31" s="182"/>
      <c r="W31" s="182"/>
      <c r="X31" s="182"/>
      <c r="Y31" s="182"/>
      <c r="Z31" s="182"/>
      <c r="AA31" s="182"/>
      <c r="AB31" s="182"/>
      <c r="AC31" s="182"/>
      <c r="AD31" s="182"/>
      <c r="AE31" s="182"/>
      <c r="AF31" s="182"/>
      <c r="AG31" s="182"/>
      <c r="AH31" s="182"/>
      <c r="AI31" s="182"/>
      <c r="AJ31" s="182"/>
      <c r="AK31" s="174"/>
    </row>
    <row r="32" spans="1:37" x14ac:dyDescent="0.75">
      <c r="A32" s="182"/>
      <c r="B32" s="182"/>
      <c r="C32" s="182"/>
      <c r="D32" s="182"/>
      <c r="E32" s="182"/>
      <c r="F32" s="182"/>
      <c r="G32" s="182"/>
      <c r="H32" s="182"/>
      <c r="I32" s="182"/>
      <c r="J32" s="182"/>
      <c r="K32" s="182"/>
      <c r="L32" s="182"/>
      <c r="M32" s="182"/>
      <c r="N32" s="182"/>
      <c r="O32" s="182"/>
      <c r="P32" s="182"/>
      <c r="Q32" s="182"/>
      <c r="R32" s="182"/>
      <c r="S32" s="182"/>
      <c r="T32" s="182"/>
      <c r="U32" s="182"/>
      <c r="V32" s="182"/>
      <c r="W32" s="182"/>
      <c r="X32" s="182"/>
      <c r="Y32" s="182"/>
      <c r="Z32" s="182"/>
      <c r="AA32" s="182"/>
      <c r="AB32" s="182"/>
      <c r="AC32" s="182"/>
      <c r="AD32" s="182"/>
      <c r="AE32" s="182"/>
      <c r="AF32" s="182"/>
      <c r="AG32" s="182"/>
      <c r="AH32" s="182"/>
      <c r="AI32" s="182"/>
      <c r="AJ32" s="182"/>
      <c r="AK32" s="174"/>
    </row>
    <row r="33" spans="1:37" x14ac:dyDescent="0.75">
      <c r="A33" s="182"/>
      <c r="B33" s="182"/>
      <c r="C33" s="182"/>
      <c r="D33" s="182"/>
      <c r="E33" s="182"/>
      <c r="F33" s="182"/>
      <c r="G33" s="182"/>
      <c r="H33" s="182"/>
      <c r="I33" s="182"/>
      <c r="J33" s="182"/>
      <c r="K33" s="182"/>
      <c r="L33" s="182"/>
      <c r="M33" s="182"/>
      <c r="N33" s="182"/>
      <c r="O33" s="182"/>
      <c r="P33" s="182"/>
      <c r="Q33" s="182"/>
      <c r="R33" s="182"/>
      <c r="S33" s="182"/>
      <c r="T33" s="182"/>
      <c r="U33" s="182"/>
      <c r="V33" s="182"/>
      <c r="W33" s="182"/>
      <c r="X33" s="182"/>
      <c r="Y33" s="182"/>
      <c r="Z33" s="182"/>
      <c r="AA33" s="182"/>
      <c r="AB33" s="182"/>
      <c r="AC33" s="182"/>
      <c r="AD33" s="182"/>
      <c r="AE33" s="182"/>
      <c r="AF33" s="182"/>
      <c r="AG33" s="182"/>
      <c r="AH33" s="182"/>
      <c r="AI33" s="182"/>
      <c r="AJ33" s="182"/>
      <c r="AK33" s="174"/>
    </row>
    <row r="34" spans="1:37" x14ac:dyDescent="0.75">
      <c r="A34" s="182"/>
      <c r="B34" s="182"/>
      <c r="C34" s="182"/>
      <c r="D34" s="182"/>
      <c r="E34" s="182"/>
      <c r="F34" s="182"/>
      <c r="G34" s="182"/>
      <c r="H34" s="182"/>
      <c r="I34" s="182"/>
      <c r="J34" s="182"/>
      <c r="K34" s="182"/>
      <c r="L34" s="182"/>
      <c r="M34" s="182"/>
      <c r="N34" s="182"/>
      <c r="O34" s="182"/>
      <c r="P34" s="182"/>
      <c r="Q34" s="182"/>
      <c r="R34" s="182"/>
      <c r="S34" s="182"/>
      <c r="T34" s="182"/>
      <c r="U34" s="182"/>
      <c r="V34" s="182"/>
      <c r="W34" s="182"/>
      <c r="X34" s="182"/>
      <c r="Y34" s="182"/>
      <c r="Z34" s="182"/>
      <c r="AA34" s="182"/>
      <c r="AB34" s="182"/>
      <c r="AC34" s="182"/>
      <c r="AD34" s="182"/>
      <c r="AE34" s="182"/>
      <c r="AF34" s="182"/>
      <c r="AG34" s="182"/>
      <c r="AH34" s="182"/>
      <c r="AI34" s="182"/>
      <c r="AJ34" s="182"/>
      <c r="AK34" s="174"/>
    </row>
    <row r="35" spans="1:37" x14ac:dyDescent="0.75">
      <c r="A35" s="182"/>
      <c r="B35" s="182"/>
      <c r="C35" s="182"/>
      <c r="D35" s="182"/>
      <c r="E35" s="182"/>
      <c r="F35" s="182"/>
      <c r="G35" s="182"/>
      <c r="H35" s="182"/>
      <c r="I35" s="182"/>
      <c r="J35" s="182"/>
      <c r="K35" s="182"/>
      <c r="L35" s="182"/>
      <c r="M35" s="182"/>
      <c r="N35" s="182"/>
      <c r="O35" s="182"/>
      <c r="P35" s="182"/>
      <c r="Q35" s="182"/>
      <c r="R35" s="182"/>
      <c r="S35" s="182"/>
      <c r="T35" s="182"/>
      <c r="U35" s="182"/>
      <c r="V35" s="182"/>
      <c r="W35" s="182"/>
      <c r="X35" s="182"/>
      <c r="Y35" s="182"/>
      <c r="Z35" s="182"/>
      <c r="AA35" s="182"/>
      <c r="AB35" s="182"/>
      <c r="AC35" s="182"/>
      <c r="AD35" s="182"/>
      <c r="AE35" s="182"/>
      <c r="AF35" s="182"/>
      <c r="AG35" s="182"/>
      <c r="AH35" s="182"/>
      <c r="AI35" s="182"/>
      <c r="AJ35" s="182"/>
      <c r="AK35" s="174"/>
    </row>
    <row r="36" spans="1:37" x14ac:dyDescent="0.75">
      <c r="A36" s="182"/>
      <c r="B36" s="182"/>
      <c r="C36" s="182"/>
      <c r="D36" s="182"/>
      <c r="E36" s="182"/>
      <c r="F36" s="182"/>
      <c r="G36" s="182"/>
      <c r="H36" s="182"/>
      <c r="I36" s="182"/>
      <c r="J36" s="182"/>
      <c r="K36" s="182"/>
      <c r="L36" s="182"/>
      <c r="M36" s="182"/>
      <c r="N36" s="182"/>
      <c r="O36" s="182"/>
      <c r="P36" s="182"/>
      <c r="Q36" s="182"/>
      <c r="R36" s="182"/>
      <c r="S36" s="182"/>
      <c r="T36" s="182"/>
      <c r="U36" s="182"/>
      <c r="V36" s="182"/>
      <c r="W36" s="182"/>
      <c r="X36" s="182"/>
      <c r="Y36" s="182"/>
      <c r="Z36" s="182"/>
      <c r="AA36" s="182"/>
      <c r="AB36" s="182"/>
      <c r="AC36" s="182"/>
      <c r="AD36" s="182"/>
      <c r="AE36" s="182"/>
      <c r="AF36" s="182"/>
      <c r="AG36" s="182"/>
      <c r="AH36" s="182"/>
      <c r="AI36" s="182"/>
      <c r="AJ36" s="182"/>
      <c r="AK36" s="174"/>
    </row>
    <row r="37" spans="1:37" x14ac:dyDescent="0.75">
      <c r="A37" s="182"/>
      <c r="B37" s="182"/>
      <c r="C37" s="182"/>
      <c r="D37" s="182"/>
      <c r="E37" s="182"/>
      <c r="F37" s="182"/>
      <c r="G37" s="182"/>
      <c r="H37" s="182"/>
      <c r="I37" s="182"/>
      <c r="J37" s="182"/>
      <c r="K37" s="182"/>
      <c r="L37" s="182"/>
      <c r="M37" s="182"/>
      <c r="N37" s="182"/>
      <c r="O37" s="182"/>
      <c r="P37" s="182"/>
      <c r="Q37" s="182"/>
      <c r="R37" s="182"/>
      <c r="S37" s="182"/>
      <c r="T37" s="182"/>
      <c r="U37" s="182"/>
      <c r="V37" s="182"/>
      <c r="W37" s="182"/>
      <c r="X37" s="182"/>
      <c r="Y37" s="182"/>
      <c r="Z37" s="182"/>
      <c r="AA37" s="182"/>
      <c r="AB37" s="182"/>
      <c r="AC37" s="182"/>
      <c r="AD37" s="182"/>
      <c r="AE37" s="182"/>
      <c r="AF37" s="182"/>
      <c r="AG37" s="182"/>
      <c r="AH37" s="182"/>
      <c r="AI37" s="182"/>
      <c r="AJ37" s="182"/>
      <c r="AK37" s="174"/>
    </row>
    <row r="38" spans="1:37" x14ac:dyDescent="0.75">
      <c r="A38" s="182"/>
      <c r="B38" s="182"/>
      <c r="C38" s="182"/>
      <c r="D38" s="182"/>
      <c r="E38" s="182"/>
      <c r="F38" s="182"/>
      <c r="G38" s="182"/>
      <c r="H38" s="182"/>
      <c r="I38" s="182"/>
      <c r="J38" s="182"/>
      <c r="K38" s="182"/>
      <c r="L38" s="182"/>
      <c r="M38" s="182"/>
      <c r="N38" s="182"/>
      <c r="O38" s="182"/>
      <c r="P38" s="182"/>
      <c r="Q38" s="182"/>
      <c r="R38" s="182"/>
      <c r="S38" s="182"/>
      <c r="T38" s="182"/>
      <c r="U38" s="182"/>
      <c r="V38" s="182"/>
      <c r="W38" s="182"/>
      <c r="X38" s="182"/>
      <c r="Y38" s="182"/>
      <c r="Z38" s="182"/>
      <c r="AA38" s="182"/>
      <c r="AB38" s="182"/>
      <c r="AC38" s="182"/>
      <c r="AD38" s="182"/>
      <c r="AE38" s="182"/>
      <c r="AF38" s="182"/>
      <c r="AG38" s="182"/>
      <c r="AH38" s="182"/>
      <c r="AI38" s="182"/>
      <c r="AJ38" s="182"/>
      <c r="AK38" s="174"/>
    </row>
    <row r="39" spans="1:37" x14ac:dyDescent="0.75">
      <c r="A39" s="182"/>
      <c r="B39" s="182"/>
      <c r="C39" s="182"/>
      <c r="D39" s="182"/>
      <c r="E39" s="182"/>
      <c r="F39" s="182"/>
      <c r="G39" s="182"/>
      <c r="H39" s="182"/>
      <c r="I39" s="182"/>
      <c r="J39" s="182"/>
      <c r="K39" s="182"/>
      <c r="L39" s="182"/>
      <c r="M39" s="182"/>
      <c r="N39" s="182"/>
      <c r="O39" s="182"/>
      <c r="P39" s="182"/>
      <c r="Q39" s="182"/>
      <c r="R39" s="182"/>
      <c r="S39" s="182"/>
      <c r="T39" s="182"/>
      <c r="U39" s="182"/>
      <c r="V39" s="182"/>
      <c r="W39" s="182"/>
      <c r="X39" s="182"/>
      <c r="Y39" s="182"/>
      <c r="Z39" s="182"/>
      <c r="AA39" s="182"/>
      <c r="AB39" s="182"/>
      <c r="AC39" s="182"/>
      <c r="AD39" s="182"/>
      <c r="AE39" s="182"/>
      <c r="AF39" s="182"/>
      <c r="AG39" s="182"/>
      <c r="AH39" s="182"/>
      <c r="AI39" s="182"/>
      <c r="AJ39" s="182"/>
      <c r="AK39" s="174"/>
    </row>
    <row r="40" spans="1:37" x14ac:dyDescent="0.75">
      <c r="A40" s="182"/>
      <c r="B40" s="182"/>
      <c r="C40" s="182"/>
      <c r="D40" s="182"/>
      <c r="E40" s="182"/>
      <c r="F40" s="182"/>
      <c r="G40" s="182"/>
      <c r="H40" s="182"/>
      <c r="I40" s="182"/>
      <c r="J40" s="182"/>
      <c r="K40" s="182"/>
      <c r="L40" s="182"/>
      <c r="M40" s="182"/>
      <c r="N40" s="182"/>
      <c r="O40" s="182"/>
      <c r="P40" s="182"/>
      <c r="Q40" s="182"/>
      <c r="R40" s="182"/>
      <c r="S40" s="182"/>
      <c r="T40" s="182"/>
      <c r="U40" s="182"/>
      <c r="V40" s="182"/>
      <c r="W40" s="182"/>
      <c r="X40" s="182"/>
      <c r="Y40" s="182"/>
      <c r="Z40" s="182"/>
      <c r="AA40" s="182"/>
      <c r="AB40" s="182"/>
      <c r="AC40" s="182"/>
      <c r="AD40" s="182"/>
      <c r="AE40" s="182"/>
      <c r="AF40" s="182"/>
      <c r="AG40" s="182"/>
      <c r="AH40" s="182"/>
      <c r="AI40" s="182"/>
      <c r="AJ40" s="182"/>
      <c r="AK40" s="174"/>
    </row>
    <row r="41" spans="1:37" x14ac:dyDescent="0.75">
      <c r="A41" s="182"/>
      <c r="B41" s="182"/>
      <c r="C41" s="182"/>
      <c r="D41" s="182"/>
      <c r="E41" s="182"/>
      <c r="F41" s="182"/>
      <c r="G41" s="182"/>
      <c r="H41" s="182"/>
      <c r="I41" s="182"/>
      <c r="J41" s="182"/>
      <c r="K41" s="182"/>
      <c r="L41" s="182"/>
      <c r="M41" s="182"/>
      <c r="N41" s="182"/>
      <c r="O41" s="182"/>
      <c r="P41" s="182"/>
      <c r="Q41" s="182"/>
      <c r="R41" s="182"/>
      <c r="S41" s="182"/>
      <c r="T41" s="182"/>
      <c r="U41" s="182"/>
      <c r="V41" s="182"/>
      <c r="W41" s="182"/>
      <c r="X41" s="182"/>
      <c r="Y41" s="182"/>
      <c r="Z41" s="182"/>
      <c r="AA41" s="182"/>
      <c r="AB41" s="182"/>
      <c r="AC41" s="182"/>
      <c r="AD41" s="182"/>
      <c r="AE41" s="182"/>
      <c r="AF41" s="182"/>
      <c r="AG41" s="182"/>
      <c r="AH41" s="182"/>
      <c r="AI41" s="182"/>
      <c r="AJ41" s="182"/>
      <c r="AK41" s="174"/>
    </row>
    <row r="42" spans="1:37" x14ac:dyDescent="0.75">
      <c r="A42" s="182"/>
      <c r="B42" s="182"/>
      <c r="C42" s="182"/>
      <c r="D42" s="182"/>
      <c r="E42" s="182"/>
      <c r="F42" s="182"/>
      <c r="G42" s="182"/>
      <c r="H42" s="182"/>
      <c r="I42" s="182"/>
      <c r="J42" s="182"/>
      <c r="K42" s="182"/>
      <c r="L42" s="182"/>
      <c r="M42" s="182"/>
      <c r="N42" s="182"/>
      <c r="O42" s="182"/>
      <c r="P42" s="182"/>
      <c r="Q42" s="182"/>
      <c r="R42" s="182"/>
      <c r="S42" s="182"/>
      <c r="T42" s="182"/>
      <c r="U42" s="182"/>
      <c r="V42" s="182"/>
      <c r="W42" s="182"/>
      <c r="X42" s="182"/>
      <c r="Y42" s="182"/>
      <c r="Z42" s="182"/>
      <c r="AA42" s="182"/>
      <c r="AB42" s="182"/>
      <c r="AC42" s="182"/>
      <c r="AD42" s="182"/>
      <c r="AE42" s="182"/>
      <c r="AF42" s="182"/>
      <c r="AG42" s="182"/>
      <c r="AH42" s="182"/>
      <c r="AI42" s="182"/>
      <c r="AJ42" s="182"/>
      <c r="AK42" s="174"/>
    </row>
    <row r="43" spans="1:37" x14ac:dyDescent="0.75">
      <c r="A43" s="182"/>
      <c r="B43" s="182"/>
      <c r="C43" s="182"/>
      <c r="D43" s="182"/>
      <c r="E43" s="182"/>
      <c r="F43" s="182"/>
      <c r="G43" s="182"/>
      <c r="H43" s="182"/>
      <c r="I43" s="182"/>
      <c r="J43" s="182"/>
      <c r="K43" s="182"/>
      <c r="L43" s="182"/>
      <c r="M43" s="182"/>
      <c r="N43" s="182"/>
      <c r="O43" s="182"/>
      <c r="P43" s="182"/>
      <c r="Q43" s="182"/>
      <c r="R43" s="182"/>
      <c r="S43" s="182"/>
      <c r="T43" s="182"/>
      <c r="U43" s="182"/>
      <c r="V43" s="182"/>
      <c r="W43" s="182"/>
      <c r="X43" s="182"/>
      <c r="Y43" s="182"/>
      <c r="Z43" s="182"/>
      <c r="AA43" s="182"/>
      <c r="AB43" s="182"/>
      <c r="AC43" s="182"/>
      <c r="AD43" s="182"/>
      <c r="AE43" s="182"/>
      <c r="AF43" s="182"/>
      <c r="AG43" s="182"/>
      <c r="AH43" s="182"/>
      <c r="AI43" s="182"/>
      <c r="AJ43" s="182"/>
      <c r="AK43" s="174"/>
    </row>
    <row r="44" spans="1:37" x14ac:dyDescent="0.75">
      <c r="A44" s="182"/>
      <c r="B44" s="182"/>
      <c r="C44" s="182"/>
      <c r="D44" s="182"/>
      <c r="E44" s="182"/>
      <c r="F44" s="182"/>
      <c r="G44" s="182"/>
      <c r="H44" s="182"/>
      <c r="I44" s="182"/>
      <c r="J44" s="182"/>
      <c r="K44" s="182"/>
      <c r="L44" s="182"/>
      <c r="M44" s="182"/>
      <c r="N44" s="182"/>
      <c r="O44" s="182"/>
      <c r="P44" s="182"/>
      <c r="Q44" s="182"/>
      <c r="R44" s="182"/>
      <c r="S44" s="182"/>
      <c r="T44" s="182"/>
      <c r="U44" s="182"/>
      <c r="V44" s="182"/>
      <c r="W44" s="182"/>
      <c r="X44" s="182"/>
      <c r="Y44" s="182"/>
      <c r="Z44" s="182"/>
      <c r="AA44" s="182"/>
      <c r="AB44" s="182"/>
      <c r="AC44" s="182"/>
      <c r="AD44" s="182"/>
      <c r="AE44" s="182"/>
      <c r="AF44" s="182"/>
      <c r="AG44" s="182"/>
      <c r="AH44" s="182"/>
      <c r="AI44" s="182"/>
      <c r="AJ44" s="182"/>
      <c r="AK44" s="174"/>
    </row>
    <row r="45" spans="1:37" x14ac:dyDescent="0.75">
      <c r="A45" s="182"/>
      <c r="B45" s="182"/>
      <c r="C45" s="182"/>
      <c r="D45" s="182"/>
      <c r="E45" s="182"/>
      <c r="F45" s="182"/>
      <c r="G45" s="182"/>
      <c r="H45" s="182"/>
      <c r="I45" s="182"/>
      <c r="J45" s="182"/>
      <c r="K45" s="182"/>
      <c r="L45" s="182"/>
      <c r="M45" s="182"/>
      <c r="N45" s="182"/>
      <c r="O45" s="182"/>
      <c r="P45" s="182"/>
      <c r="Q45" s="182"/>
      <c r="R45" s="182"/>
      <c r="S45" s="182"/>
      <c r="T45" s="182"/>
      <c r="U45" s="182"/>
      <c r="V45" s="182"/>
      <c r="W45" s="182"/>
      <c r="X45" s="182"/>
      <c r="Y45" s="182"/>
      <c r="Z45" s="182"/>
      <c r="AA45" s="182"/>
      <c r="AB45" s="182"/>
      <c r="AC45" s="182"/>
      <c r="AD45" s="182"/>
      <c r="AE45" s="182"/>
      <c r="AF45" s="182"/>
      <c r="AG45" s="182"/>
      <c r="AH45" s="182"/>
      <c r="AI45" s="182"/>
      <c r="AJ45" s="182"/>
      <c r="AK45" s="174"/>
    </row>
  </sheetData>
  <mergeCells count="639">
    <mergeCell ref="S45:T45"/>
    <mergeCell ref="U45:V45"/>
    <mergeCell ref="W45:X45"/>
    <mergeCell ref="Y45:Z45"/>
    <mergeCell ref="AA45:AB45"/>
    <mergeCell ref="AC45:AD45"/>
    <mergeCell ref="AE45:AF45"/>
    <mergeCell ref="AG45:AH45"/>
    <mergeCell ref="AI45:AJ45"/>
    <mergeCell ref="A45:B45"/>
    <mergeCell ref="C45:D45"/>
    <mergeCell ref="E45:F45"/>
    <mergeCell ref="G45:H45"/>
    <mergeCell ref="I45:J45"/>
    <mergeCell ref="K45:L45"/>
    <mergeCell ref="M45:N45"/>
    <mergeCell ref="O45:P45"/>
    <mergeCell ref="Q45:R45"/>
    <mergeCell ref="S44:T44"/>
    <mergeCell ref="U44:V44"/>
    <mergeCell ref="W44:X44"/>
    <mergeCell ref="Y44:Z44"/>
    <mergeCell ref="AA44:AB44"/>
    <mergeCell ref="AC44:AD44"/>
    <mergeCell ref="AE44:AF44"/>
    <mergeCell ref="AG44:AH44"/>
    <mergeCell ref="AI44:AJ44"/>
    <mergeCell ref="A44:B44"/>
    <mergeCell ref="C44:D44"/>
    <mergeCell ref="E44:F44"/>
    <mergeCell ref="G44:H44"/>
    <mergeCell ref="I44:J44"/>
    <mergeCell ref="K44:L44"/>
    <mergeCell ref="M44:N44"/>
    <mergeCell ref="O44:P44"/>
    <mergeCell ref="Q44:R44"/>
    <mergeCell ref="S43:T43"/>
    <mergeCell ref="U43:V43"/>
    <mergeCell ref="W43:X43"/>
    <mergeCell ref="Y43:Z43"/>
    <mergeCell ref="AA43:AB43"/>
    <mergeCell ref="AC43:AD43"/>
    <mergeCell ref="AE43:AF43"/>
    <mergeCell ref="AG43:AH43"/>
    <mergeCell ref="AI43:AJ43"/>
    <mergeCell ref="A43:B43"/>
    <mergeCell ref="C43:D43"/>
    <mergeCell ref="E43:F43"/>
    <mergeCell ref="G43:H43"/>
    <mergeCell ref="I43:J43"/>
    <mergeCell ref="K43:L43"/>
    <mergeCell ref="M43:N43"/>
    <mergeCell ref="O43:P43"/>
    <mergeCell ref="Q43:R43"/>
    <mergeCell ref="S42:T42"/>
    <mergeCell ref="U42:V42"/>
    <mergeCell ref="W42:X42"/>
    <mergeCell ref="Y42:Z42"/>
    <mergeCell ref="AA42:AB42"/>
    <mergeCell ref="AC42:AD42"/>
    <mergeCell ref="AE42:AF42"/>
    <mergeCell ref="AG42:AH42"/>
    <mergeCell ref="AI42:AJ42"/>
    <mergeCell ref="A42:B42"/>
    <mergeCell ref="C42:D42"/>
    <mergeCell ref="E42:F42"/>
    <mergeCell ref="G42:H42"/>
    <mergeCell ref="I42:J42"/>
    <mergeCell ref="K42:L42"/>
    <mergeCell ref="M42:N42"/>
    <mergeCell ref="O42:P42"/>
    <mergeCell ref="Q42:R42"/>
    <mergeCell ref="S41:T41"/>
    <mergeCell ref="U41:V41"/>
    <mergeCell ref="W41:X41"/>
    <mergeCell ref="Y41:Z41"/>
    <mergeCell ref="AA41:AB41"/>
    <mergeCell ref="AC41:AD41"/>
    <mergeCell ref="AE41:AF41"/>
    <mergeCell ref="AG41:AH41"/>
    <mergeCell ref="AI41:AJ41"/>
    <mergeCell ref="A41:B41"/>
    <mergeCell ref="C41:D41"/>
    <mergeCell ref="E41:F41"/>
    <mergeCell ref="G41:H41"/>
    <mergeCell ref="I41:J41"/>
    <mergeCell ref="K41:L41"/>
    <mergeCell ref="M41:N41"/>
    <mergeCell ref="O41:P41"/>
    <mergeCell ref="Q41:R41"/>
    <mergeCell ref="S40:T40"/>
    <mergeCell ref="U40:V40"/>
    <mergeCell ref="W40:X40"/>
    <mergeCell ref="Y40:Z40"/>
    <mergeCell ref="AA40:AB40"/>
    <mergeCell ref="AC40:AD40"/>
    <mergeCell ref="AE40:AF40"/>
    <mergeCell ref="AG40:AH40"/>
    <mergeCell ref="AI40:AJ40"/>
    <mergeCell ref="A40:B40"/>
    <mergeCell ref="C40:D40"/>
    <mergeCell ref="E40:F40"/>
    <mergeCell ref="G40:H40"/>
    <mergeCell ref="I40:J40"/>
    <mergeCell ref="K40:L40"/>
    <mergeCell ref="M40:N40"/>
    <mergeCell ref="O40:P40"/>
    <mergeCell ref="Q40:R40"/>
    <mergeCell ref="S39:T39"/>
    <mergeCell ref="U39:V39"/>
    <mergeCell ref="W39:X39"/>
    <mergeCell ref="Y39:Z39"/>
    <mergeCell ref="AA39:AB39"/>
    <mergeCell ref="AC39:AD39"/>
    <mergeCell ref="AE39:AF39"/>
    <mergeCell ref="AG39:AH39"/>
    <mergeCell ref="AI39:AJ39"/>
    <mergeCell ref="A39:B39"/>
    <mergeCell ref="C39:D39"/>
    <mergeCell ref="E39:F39"/>
    <mergeCell ref="G39:H39"/>
    <mergeCell ref="I39:J39"/>
    <mergeCell ref="K39:L39"/>
    <mergeCell ref="M39:N39"/>
    <mergeCell ref="O39:P39"/>
    <mergeCell ref="Q39:R39"/>
    <mergeCell ref="S38:T38"/>
    <mergeCell ref="U38:V38"/>
    <mergeCell ref="W38:X38"/>
    <mergeCell ref="Y38:Z38"/>
    <mergeCell ref="AA38:AB38"/>
    <mergeCell ref="AC38:AD38"/>
    <mergeCell ref="AE38:AF38"/>
    <mergeCell ref="AG38:AH38"/>
    <mergeCell ref="AI38:AJ38"/>
    <mergeCell ref="A38:B38"/>
    <mergeCell ref="C38:D38"/>
    <mergeCell ref="E38:F38"/>
    <mergeCell ref="G38:H38"/>
    <mergeCell ref="I38:J38"/>
    <mergeCell ref="K38:L38"/>
    <mergeCell ref="M38:N38"/>
    <mergeCell ref="O38:P38"/>
    <mergeCell ref="Q38:R38"/>
    <mergeCell ref="S37:T37"/>
    <mergeCell ref="U37:V37"/>
    <mergeCell ref="W37:X37"/>
    <mergeCell ref="Y37:Z37"/>
    <mergeCell ref="AA37:AB37"/>
    <mergeCell ref="AC37:AD37"/>
    <mergeCell ref="AE37:AF37"/>
    <mergeCell ref="AG37:AH37"/>
    <mergeCell ref="AI37:AJ37"/>
    <mergeCell ref="A37:B37"/>
    <mergeCell ref="C37:D37"/>
    <mergeCell ref="E37:F37"/>
    <mergeCell ref="G37:H37"/>
    <mergeCell ref="I37:J37"/>
    <mergeCell ref="K37:L37"/>
    <mergeCell ref="M37:N37"/>
    <mergeCell ref="O37:P37"/>
    <mergeCell ref="Q37:R37"/>
    <mergeCell ref="S36:T36"/>
    <mergeCell ref="U36:V36"/>
    <mergeCell ref="W36:X36"/>
    <mergeCell ref="Y36:Z36"/>
    <mergeCell ref="AA36:AB36"/>
    <mergeCell ref="AC36:AD36"/>
    <mergeCell ref="AE36:AF36"/>
    <mergeCell ref="AG36:AH36"/>
    <mergeCell ref="AI36:AJ36"/>
    <mergeCell ref="A36:B36"/>
    <mergeCell ref="C36:D36"/>
    <mergeCell ref="E36:F36"/>
    <mergeCell ref="G36:H36"/>
    <mergeCell ref="I36:J36"/>
    <mergeCell ref="K36:L36"/>
    <mergeCell ref="M36:N36"/>
    <mergeCell ref="O36:P36"/>
    <mergeCell ref="Q36:R36"/>
    <mergeCell ref="S35:T35"/>
    <mergeCell ref="U35:V35"/>
    <mergeCell ref="W35:X35"/>
    <mergeCell ref="Y35:Z35"/>
    <mergeCell ref="AA35:AB35"/>
    <mergeCell ref="AC35:AD35"/>
    <mergeCell ref="AE35:AF35"/>
    <mergeCell ref="AG35:AH35"/>
    <mergeCell ref="AI35:AJ35"/>
    <mergeCell ref="A35:B35"/>
    <mergeCell ref="C35:D35"/>
    <mergeCell ref="E35:F35"/>
    <mergeCell ref="G35:H35"/>
    <mergeCell ref="I35:J35"/>
    <mergeCell ref="K35:L35"/>
    <mergeCell ref="M35:N35"/>
    <mergeCell ref="O35:P35"/>
    <mergeCell ref="Q35:R35"/>
    <mergeCell ref="S34:T34"/>
    <mergeCell ref="U34:V34"/>
    <mergeCell ref="W34:X34"/>
    <mergeCell ref="Y34:Z34"/>
    <mergeCell ref="AA34:AB34"/>
    <mergeCell ref="AC34:AD34"/>
    <mergeCell ref="AE34:AF34"/>
    <mergeCell ref="AG34:AH34"/>
    <mergeCell ref="AI34:AJ34"/>
    <mergeCell ref="A34:B34"/>
    <mergeCell ref="C34:D34"/>
    <mergeCell ref="E34:F34"/>
    <mergeCell ref="G34:H34"/>
    <mergeCell ref="I34:J34"/>
    <mergeCell ref="K34:L34"/>
    <mergeCell ref="M34:N34"/>
    <mergeCell ref="O34:P34"/>
    <mergeCell ref="Q34:R34"/>
    <mergeCell ref="S33:T33"/>
    <mergeCell ref="U33:V33"/>
    <mergeCell ref="W33:X33"/>
    <mergeCell ref="Y33:Z33"/>
    <mergeCell ref="AA33:AB33"/>
    <mergeCell ref="AC33:AD33"/>
    <mergeCell ref="AE33:AF33"/>
    <mergeCell ref="AG33:AH33"/>
    <mergeCell ref="AI33:AJ33"/>
    <mergeCell ref="A33:B33"/>
    <mergeCell ref="C33:D33"/>
    <mergeCell ref="E33:F33"/>
    <mergeCell ref="G33:H33"/>
    <mergeCell ref="I33:J33"/>
    <mergeCell ref="K33:L33"/>
    <mergeCell ref="M33:N33"/>
    <mergeCell ref="O33:P33"/>
    <mergeCell ref="Q33:R33"/>
    <mergeCell ref="S32:T32"/>
    <mergeCell ref="U32:V32"/>
    <mergeCell ref="W32:X32"/>
    <mergeCell ref="Y32:Z32"/>
    <mergeCell ref="AA32:AB32"/>
    <mergeCell ref="AC32:AD32"/>
    <mergeCell ref="AE32:AF32"/>
    <mergeCell ref="AG32:AH32"/>
    <mergeCell ref="AI32:AJ32"/>
    <mergeCell ref="A32:B32"/>
    <mergeCell ref="C32:D32"/>
    <mergeCell ref="E32:F32"/>
    <mergeCell ref="G32:H32"/>
    <mergeCell ref="I32:J32"/>
    <mergeCell ref="K32:L32"/>
    <mergeCell ref="M32:N32"/>
    <mergeCell ref="O32:P32"/>
    <mergeCell ref="Q32:R32"/>
    <mergeCell ref="S31:T31"/>
    <mergeCell ref="U31:V31"/>
    <mergeCell ref="W31:X31"/>
    <mergeCell ref="Y31:Z31"/>
    <mergeCell ref="AA31:AB31"/>
    <mergeCell ref="AC31:AD31"/>
    <mergeCell ref="AE31:AF31"/>
    <mergeCell ref="AG31:AH31"/>
    <mergeCell ref="AI31:AJ31"/>
    <mergeCell ref="A31:B31"/>
    <mergeCell ref="C31:D31"/>
    <mergeCell ref="E31:F31"/>
    <mergeCell ref="G31:H31"/>
    <mergeCell ref="I31:J31"/>
    <mergeCell ref="K31:L31"/>
    <mergeCell ref="M31:N31"/>
    <mergeCell ref="O31:P31"/>
    <mergeCell ref="Q31:R31"/>
    <mergeCell ref="S30:T30"/>
    <mergeCell ref="U30:V30"/>
    <mergeCell ref="W30:X30"/>
    <mergeCell ref="Y30:Z30"/>
    <mergeCell ref="AA30:AB30"/>
    <mergeCell ref="AC30:AD30"/>
    <mergeCell ref="AE30:AF30"/>
    <mergeCell ref="AG30:AH30"/>
    <mergeCell ref="AI30:AJ30"/>
    <mergeCell ref="A30:B30"/>
    <mergeCell ref="C30:D30"/>
    <mergeCell ref="E30:F30"/>
    <mergeCell ref="G30:H30"/>
    <mergeCell ref="I30:J30"/>
    <mergeCell ref="K30:L30"/>
    <mergeCell ref="M30:N30"/>
    <mergeCell ref="O30:P30"/>
    <mergeCell ref="Q30:R30"/>
    <mergeCell ref="S29:T29"/>
    <mergeCell ref="U29:V29"/>
    <mergeCell ref="W29:X29"/>
    <mergeCell ref="Y29:Z29"/>
    <mergeCell ref="AA29:AB29"/>
    <mergeCell ref="AC29:AD29"/>
    <mergeCell ref="AE29:AF29"/>
    <mergeCell ref="AG29:AH29"/>
    <mergeCell ref="AI29:AJ29"/>
    <mergeCell ref="A29:B29"/>
    <mergeCell ref="C29:D29"/>
    <mergeCell ref="E29:F29"/>
    <mergeCell ref="G29:H29"/>
    <mergeCell ref="I29:J29"/>
    <mergeCell ref="K29:L29"/>
    <mergeCell ref="M29:N29"/>
    <mergeCell ref="O29:P29"/>
    <mergeCell ref="Q29:R29"/>
    <mergeCell ref="S28:T28"/>
    <mergeCell ref="U28:V28"/>
    <mergeCell ref="W28:X28"/>
    <mergeCell ref="Y28:Z28"/>
    <mergeCell ref="AA28:AB28"/>
    <mergeCell ref="AC28:AD28"/>
    <mergeCell ref="AE28:AF28"/>
    <mergeCell ref="AG28:AH28"/>
    <mergeCell ref="AI28:AJ28"/>
    <mergeCell ref="A28:B28"/>
    <mergeCell ref="C28:D28"/>
    <mergeCell ref="E28:F28"/>
    <mergeCell ref="G28:H28"/>
    <mergeCell ref="I28:J28"/>
    <mergeCell ref="K28:L28"/>
    <mergeCell ref="M28:N28"/>
    <mergeCell ref="O28:P28"/>
    <mergeCell ref="Q28:R28"/>
    <mergeCell ref="S27:T27"/>
    <mergeCell ref="U27:V27"/>
    <mergeCell ref="W27:X27"/>
    <mergeCell ref="Y27:Z27"/>
    <mergeCell ref="AA27:AB27"/>
    <mergeCell ref="AC27:AD27"/>
    <mergeCell ref="AE27:AF27"/>
    <mergeCell ref="AG27:AH27"/>
    <mergeCell ref="AI27:AJ27"/>
    <mergeCell ref="A27:B27"/>
    <mergeCell ref="C27:D27"/>
    <mergeCell ref="E27:F27"/>
    <mergeCell ref="G27:H27"/>
    <mergeCell ref="I27:J27"/>
    <mergeCell ref="K27:L27"/>
    <mergeCell ref="M27:N27"/>
    <mergeCell ref="O27:P27"/>
    <mergeCell ref="Q27:R27"/>
    <mergeCell ref="S26:T26"/>
    <mergeCell ref="U26:V26"/>
    <mergeCell ref="W26:X26"/>
    <mergeCell ref="Y26:Z26"/>
    <mergeCell ref="AA26:AB26"/>
    <mergeCell ref="AC26:AD26"/>
    <mergeCell ref="AE26:AF26"/>
    <mergeCell ref="AG26:AH26"/>
    <mergeCell ref="AI26:AJ26"/>
    <mergeCell ref="A26:B26"/>
    <mergeCell ref="C26:D26"/>
    <mergeCell ref="E26:F26"/>
    <mergeCell ref="G26:H26"/>
    <mergeCell ref="I26:J26"/>
    <mergeCell ref="K26:L26"/>
    <mergeCell ref="M26:N26"/>
    <mergeCell ref="O26:P26"/>
    <mergeCell ref="Q26:R26"/>
    <mergeCell ref="S25:T25"/>
    <mergeCell ref="U25:V25"/>
    <mergeCell ref="W25:X25"/>
    <mergeCell ref="Y25:Z25"/>
    <mergeCell ref="AA25:AB25"/>
    <mergeCell ref="AC25:AD25"/>
    <mergeCell ref="AE25:AF25"/>
    <mergeCell ref="AG25:AH25"/>
    <mergeCell ref="AI25:AJ25"/>
    <mergeCell ref="A25:B25"/>
    <mergeCell ref="C25:D25"/>
    <mergeCell ref="E25:F25"/>
    <mergeCell ref="G25:H25"/>
    <mergeCell ref="I25:J25"/>
    <mergeCell ref="K25:L25"/>
    <mergeCell ref="M25:N25"/>
    <mergeCell ref="O25:P25"/>
    <mergeCell ref="Q25:R25"/>
    <mergeCell ref="S24:T24"/>
    <mergeCell ref="U24:V24"/>
    <mergeCell ref="W24:X24"/>
    <mergeCell ref="Y24:Z24"/>
    <mergeCell ref="AA24:AB24"/>
    <mergeCell ref="AC24:AD24"/>
    <mergeCell ref="AE24:AF24"/>
    <mergeCell ref="AG24:AH24"/>
    <mergeCell ref="AI24:AJ24"/>
    <mergeCell ref="A24:B24"/>
    <mergeCell ref="C24:D24"/>
    <mergeCell ref="E24:F24"/>
    <mergeCell ref="G24:H24"/>
    <mergeCell ref="I24:J24"/>
    <mergeCell ref="K24:L24"/>
    <mergeCell ref="M24:N24"/>
    <mergeCell ref="O24:P24"/>
    <mergeCell ref="Q24:R24"/>
    <mergeCell ref="AC22:AD22"/>
    <mergeCell ref="AE22:AF22"/>
    <mergeCell ref="AG22:AH22"/>
    <mergeCell ref="AI22:AJ22"/>
    <mergeCell ref="A23:B23"/>
    <mergeCell ref="C23:D23"/>
    <mergeCell ref="E23:F23"/>
    <mergeCell ref="G23:H23"/>
    <mergeCell ref="I23:J23"/>
    <mergeCell ref="K23:L23"/>
    <mergeCell ref="M23:N23"/>
    <mergeCell ref="O23:P23"/>
    <mergeCell ref="Q23:R23"/>
    <mergeCell ref="S23:T23"/>
    <mergeCell ref="U23:V23"/>
    <mergeCell ref="W23:X23"/>
    <mergeCell ref="Y23:Z23"/>
    <mergeCell ref="AA23:AB23"/>
    <mergeCell ref="AC23:AD23"/>
    <mergeCell ref="AE23:AF23"/>
    <mergeCell ref="AG23:AH23"/>
    <mergeCell ref="AI23:AJ23"/>
    <mergeCell ref="S22:T22"/>
    <mergeCell ref="U22:V22"/>
    <mergeCell ref="W22:X22"/>
    <mergeCell ref="Y22:Z22"/>
    <mergeCell ref="A21:B21"/>
    <mergeCell ref="C21:D21"/>
    <mergeCell ref="E21:F21"/>
    <mergeCell ref="G21:H21"/>
    <mergeCell ref="AA22:AB22"/>
    <mergeCell ref="A22:B22"/>
    <mergeCell ref="C22:D22"/>
    <mergeCell ref="E22:F22"/>
    <mergeCell ref="G22:H22"/>
    <mergeCell ref="I22:J22"/>
    <mergeCell ref="K22:L22"/>
    <mergeCell ref="M22:N22"/>
    <mergeCell ref="O22:P22"/>
    <mergeCell ref="Q22:R22"/>
    <mergeCell ref="I21:J21"/>
    <mergeCell ref="K21:L21"/>
    <mergeCell ref="M21:N21"/>
    <mergeCell ref="O21:P21"/>
    <mergeCell ref="Q21:R21"/>
    <mergeCell ref="A20:B20"/>
    <mergeCell ref="C20:D20"/>
    <mergeCell ref="E20:F20"/>
    <mergeCell ref="G20:Y20"/>
    <mergeCell ref="S21:T21"/>
    <mergeCell ref="U21:V21"/>
    <mergeCell ref="W21:X21"/>
    <mergeCell ref="T17:U17"/>
    <mergeCell ref="V17:W17"/>
    <mergeCell ref="X17:Y17"/>
    <mergeCell ref="A16:I18"/>
    <mergeCell ref="J16:K16"/>
    <mergeCell ref="L16:M16"/>
    <mergeCell ref="N16:O16"/>
    <mergeCell ref="P16:Q16"/>
    <mergeCell ref="R17:S17"/>
    <mergeCell ref="J18:K18"/>
    <mergeCell ref="L18:M18"/>
    <mergeCell ref="N18:O18"/>
    <mergeCell ref="R18:S18"/>
    <mergeCell ref="T18:U18"/>
    <mergeCell ref="V18:W18"/>
    <mergeCell ref="X18:Y18"/>
    <mergeCell ref="A19:B19"/>
    <mergeCell ref="C19:D19"/>
    <mergeCell ref="P18:Q18"/>
    <mergeCell ref="A1:F1"/>
    <mergeCell ref="A3:Y10"/>
    <mergeCell ref="E19:F19"/>
    <mergeCell ref="G19:Y19"/>
    <mergeCell ref="R16:S16"/>
    <mergeCell ref="T16:U16"/>
    <mergeCell ref="V16:W16"/>
    <mergeCell ref="X16:Y16"/>
    <mergeCell ref="J17:K17"/>
    <mergeCell ref="L17:M17"/>
    <mergeCell ref="N17:O17"/>
    <mergeCell ref="P17:Q17"/>
    <mergeCell ref="K11:L11"/>
    <mergeCell ref="M11:N11"/>
    <mergeCell ref="O11:P11"/>
    <mergeCell ref="A11:B11"/>
    <mergeCell ref="C11:D11"/>
    <mergeCell ref="E11:F11"/>
    <mergeCell ref="G11:H11"/>
    <mergeCell ref="I11:J11"/>
    <mergeCell ref="A12:Y15"/>
    <mergeCell ref="U1:V1"/>
    <mergeCell ref="W1:X1"/>
    <mergeCell ref="O2:P2"/>
    <mergeCell ref="Q2:R2"/>
    <mergeCell ref="S2:T2"/>
    <mergeCell ref="U2:V2"/>
    <mergeCell ref="Q11:R11"/>
    <mergeCell ref="S11:T11"/>
    <mergeCell ref="W2:X2"/>
    <mergeCell ref="U11:V11"/>
    <mergeCell ref="W11:X11"/>
    <mergeCell ref="A2:B2"/>
    <mergeCell ref="C2:D2"/>
    <mergeCell ref="G1:H1"/>
    <mergeCell ref="I1:J1"/>
    <mergeCell ref="K1:L1"/>
    <mergeCell ref="M1:N1"/>
    <mergeCell ref="O1:P1"/>
    <mergeCell ref="Q1:R1"/>
    <mergeCell ref="S1:T1"/>
    <mergeCell ref="E2:F2"/>
    <mergeCell ref="G2:H2"/>
    <mergeCell ref="I2:J2"/>
    <mergeCell ref="K2:L2"/>
    <mergeCell ref="M2:N2"/>
    <mergeCell ref="AJ1:AK1"/>
    <mergeCell ref="Z2:AA2"/>
    <mergeCell ref="AB2:AC2"/>
    <mergeCell ref="AD2:AE2"/>
    <mergeCell ref="AF2:AG2"/>
    <mergeCell ref="AH2:AI2"/>
    <mergeCell ref="AJ2:AK2"/>
    <mergeCell ref="Z1:AA1"/>
    <mergeCell ref="AB1:AC1"/>
    <mergeCell ref="AD1:AE1"/>
    <mergeCell ref="AF1:AG1"/>
    <mergeCell ref="AH1:AI1"/>
    <mergeCell ref="AJ3:AK3"/>
    <mergeCell ref="Z4:AA4"/>
    <mergeCell ref="AB4:AC4"/>
    <mergeCell ref="AD4:AE4"/>
    <mergeCell ref="AF4:AG4"/>
    <mergeCell ref="AH4:AI4"/>
    <mergeCell ref="AJ4:AK4"/>
    <mergeCell ref="Z3:AA3"/>
    <mergeCell ref="AB3:AC3"/>
    <mergeCell ref="AD3:AE3"/>
    <mergeCell ref="AF3:AG3"/>
    <mergeCell ref="AH3:AI3"/>
    <mergeCell ref="AJ5:AK5"/>
    <mergeCell ref="Z6:AA6"/>
    <mergeCell ref="AB6:AC6"/>
    <mergeCell ref="AD6:AE6"/>
    <mergeCell ref="AF6:AG6"/>
    <mergeCell ref="AH6:AI6"/>
    <mergeCell ref="AJ6:AK6"/>
    <mergeCell ref="Z5:AA5"/>
    <mergeCell ref="AB5:AC5"/>
    <mergeCell ref="AD5:AE5"/>
    <mergeCell ref="AF5:AG5"/>
    <mergeCell ref="AH5:AI5"/>
    <mergeCell ref="AJ7:AK7"/>
    <mergeCell ref="Z8:AA8"/>
    <mergeCell ref="AB8:AC8"/>
    <mergeCell ref="AD8:AE8"/>
    <mergeCell ref="AF8:AG8"/>
    <mergeCell ref="AH8:AI8"/>
    <mergeCell ref="AJ8:AK8"/>
    <mergeCell ref="Z7:AA7"/>
    <mergeCell ref="AB7:AC7"/>
    <mergeCell ref="AD7:AE7"/>
    <mergeCell ref="AF7:AG7"/>
    <mergeCell ref="AH7:AI7"/>
    <mergeCell ref="AJ9:AK9"/>
    <mergeCell ref="Z10:AA10"/>
    <mergeCell ref="AB10:AC10"/>
    <mergeCell ref="AD10:AE10"/>
    <mergeCell ref="AF10:AG10"/>
    <mergeCell ref="AH10:AI10"/>
    <mergeCell ref="AJ10:AK10"/>
    <mergeCell ref="Z9:AA9"/>
    <mergeCell ref="AB9:AC9"/>
    <mergeCell ref="AD9:AE9"/>
    <mergeCell ref="AF9:AG9"/>
    <mergeCell ref="AH9:AI9"/>
    <mergeCell ref="AJ11:AK11"/>
    <mergeCell ref="Z12:AA12"/>
    <mergeCell ref="AB12:AC12"/>
    <mergeCell ref="AD12:AE12"/>
    <mergeCell ref="AF12:AG12"/>
    <mergeCell ref="AH12:AI12"/>
    <mergeCell ref="AJ12:AK12"/>
    <mergeCell ref="Z11:AA11"/>
    <mergeCell ref="AB11:AC11"/>
    <mergeCell ref="AD11:AE11"/>
    <mergeCell ref="AF11:AG11"/>
    <mergeCell ref="AH11:AI11"/>
    <mergeCell ref="AJ13:AK13"/>
    <mergeCell ref="Z14:AA14"/>
    <mergeCell ref="AB14:AC14"/>
    <mergeCell ref="AD14:AE14"/>
    <mergeCell ref="AF14:AG14"/>
    <mergeCell ref="AH14:AI14"/>
    <mergeCell ref="AJ14:AK14"/>
    <mergeCell ref="Z13:AA13"/>
    <mergeCell ref="AB13:AC13"/>
    <mergeCell ref="AD13:AE13"/>
    <mergeCell ref="AF13:AG13"/>
    <mergeCell ref="AH13:AI13"/>
    <mergeCell ref="AJ15:AK15"/>
    <mergeCell ref="Z16:AA16"/>
    <mergeCell ref="AB16:AC16"/>
    <mergeCell ref="AD16:AE16"/>
    <mergeCell ref="AF16:AG16"/>
    <mergeCell ref="AH16:AI16"/>
    <mergeCell ref="AJ16:AK16"/>
    <mergeCell ref="Z15:AA15"/>
    <mergeCell ref="AB15:AC15"/>
    <mergeCell ref="AD15:AE15"/>
    <mergeCell ref="AF15:AG15"/>
    <mergeCell ref="AH15:AI15"/>
    <mergeCell ref="AJ17:AK17"/>
    <mergeCell ref="Z18:AA18"/>
    <mergeCell ref="AB18:AC18"/>
    <mergeCell ref="AD18:AE18"/>
    <mergeCell ref="AF18:AG18"/>
    <mergeCell ref="AH18:AI18"/>
    <mergeCell ref="AJ18:AK18"/>
    <mergeCell ref="Z17:AA17"/>
    <mergeCell ref="AB17:AC17"/>
    <mergeCell ref="AD17:AE17"/>
    <mergeCell ref="AF17:AG17"/>
    <mergeCell ref="AH17:AI17"/>
    <mergeCell ref="AJ21:AK21"/>
    <mergeCell ref="Z21:AA21"/>
    <mergeCell ref="AB21:AC21"/>
    <mergeCell ref="AD21:AE21"/>
    <mergeCell ref="AF21:AG21"/>
    <mergeCell ref="AH21:AI21"/>
    <mergeCell ref="AJ19:AK19"/>
    <mergeCell ref="Z20:AA20"/>
    <mergeCell ref="AB20:AC20"/>
    <mergeCell ref="AD20:AE20"/>
    <mergeCell ref="AF20:AG20"/>
    <mergeCell ref="AH20:AI20"/>
    <mergeCell ref="AJ20:AK20"/>
    <mergeCell ref="Z19:AA19"/>
    <mergeCell ref="AB19:AC19"/>
    <mergeCell ref="AD19:AE19"/>
    <mergeCell ref="AF19:AG19"/>
    <mergeCell ref="AH19:AI19"/>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57B2F-04F7-4843-9F8A-EDDBD8F82037}">
  <dimension ref="A1:D44"/>
  <sheetViews>
    <sheetView zoomScale="80" zoomScaleNormal="80" workbookViewId="0">
      <pane ySplit="6" topLeftCell="A7" activePane="bottomLeft" state="frozen"/>
      <selection pane="bottomLeft" activeCell="B36" sqref="B36"/>
    </sheetView>
  </sheetViews>
  <sheetFormatPr defaultColWidth="8.7265625" defaultRowHeight="14.25" x14ac:dyDescent="0.65"/>
  <cols>
    <col min="1" max="1" width="39.1328125" style="106" customWidth="1"/>
    <col min="2" max="2" width="138.1328125" style="34" customWidth="1"/>
    <col min="3" max="3" width="0.54296875" style="101" hidden="1" customWidth="1"/>
    <col min="4" max="4" width="8.7265625" style="101" hidden="1" customWidth="1"/>
    <col min="5" max="16384" width="8.7265625" style="101"/>
  </cols>
  <sheetData>
    <row r="1" spans="1:4" ht="21.75" customHeight="1" x14ac:dyDescent="0.65">
      <c r="A1" s="127"/>
      <c r="B1" s="171" t="s">
        <v>0</v>
      </c>
      <c r="C1" s="155"/>
      <c r="D1" s="155"/>
    </row>
    <row r="2" spans="1:4" ht="109.5" customHeight="1" x14ac:dyDescent="0.65">
      <c r="A2" s="127"/>
      <c r="B2" s="170" t="s">
        <v>3</v>
      </c>
      <c r="C2" s="155"/>
      <c r="D2" s="155"/>
    </row>
    <row r="3" spans="1:4" ht="14.75" x14ac:dyDescent="0.75">
      <c r="A3" s="128" t="s">
        <v>4</v>
      </c>
      <c r="B3" s="191"/>
      <c r="C3" s="191"/>
      <c r="D3" s="156"/>
    </row>
    <row r="4" spans="1:4" ht="14.75" x14ac:dyDescent="0.75">
      <c r="A4" s="128" t="str">
        <f>'Cover Page'!A16</f>
        <v>As of: May 26, 2021</v>
      </c>
      <c r="B4" s="157"/>
      <c r="C4" s="191"/>
      <c r="D4" s="191"/>
    </row>
    <row r="5" spans="1:4" ht="18" x14ac:dyDescent="0.65">
      <c r="A5" s="192" t="s">
        <v>5</v>
      </c>
      <c r="B5" s="193"/>
      <c r="C5" s="155"/>
      <c r="D5" s="155"/>
    </row>
    <row r="6" spans="1:4" ht="14.5" x14ac:dyDescent="0.65">
      <c r="A6" s="113" t="s">
        <v>6</v>
      </c>
      <c r="B6" s="113" t="s">
        <v>7</v>
      </c>
      <c r="C6" s="155"/>
      <c r="D6" s="155"/>
    </row>
    <row r="7" spans="1:4" ht="21.75" customHeight="1" x14ac:dyDescent="0.65">
      <c r="A7" s="109" t="s">
        <v>4</v>
      </c>
      <c r="B7" s="34" t="s">
        <v>8</v>
      </c>
      <c r="C7" s="155"/>
      <c r="D7" s="155"/>
    </row>
    <row r="8" spans="1:4" ht="16.399999999999999" customHeight="1" x14ac:dyDescent="0.65">
      <c r="A8" s="194" t="s">
        <v>9</v>
      </c>
      <c r="B8" s="195"/>
      <c r="C8" s="155"/>
      <c r="D8" s="155"/>
    </row>
    <row r="9" spans="1:4" ht="63.65" customHeight="1" x14ac:dyDescent="0.65">
      <c r="A9" s="194" t="s">
        <v>10</v>
      </c>
      <c r="B9" s="195"/>
      <c r="C9" s="155"/>
      <c r="D9" s="155"/>
    </row>
    <row r="10" spans="1:4" ht="37.4" customHeight="1" x14ac:dyDescent="0.65">
      <c r="A10" s="109" t="s">
        <v>11</v>
      </c>
      <c r="B10" s="112" t="s">
        <v>12</v>
      </c>
      <c r="C10" s="155"/>
      <c r="D10" s="155"/>
    </row>
    <row r="11" spans="1:4" ht="23.9" customHeight="1" x14ac:dyDescent="0.65">
      <c r="A11" s="109" t="s">
        <v>13</v>
      </c>
      <c r="B11" s="112" t="s">
        <v>14</v>
      </c>
      <c r="C11" s="155"/>
      <c r="D11" s="155"/>
    </row>
    <row r="12" spans="1:4" ht="59.25" customHeight="1" x14ac:dyDescent="0.65">
      <c r="A12" s="109" t="s">
        <v>15</v>
      </c>
      <c r="B12" s="112" t="s">
        <v>16</v>
      </c>
      <c r="C12" s="155"/>
      <c r="D12" s="155"/>
    </row>
    <row r="13" spans="1:4" ht="40.4" customHeight="1" x14ac:dyDescent="0.65">
      <c r="A13" s="109" t="s">
        <v>17</v>
      </c>
      <c r="B13" s="112" t="s">
        <v>18</v>
      </c>
      <c r="C13" s="155"/>
      <c r="D13" s="155"/>
    </row>
    <row r="14" spans="1:4" ht="40.4" customHeight="1" x14ac:dyDescent="0.65">
      <c r="A14" s="110" t="s">
        <v>19</v>
      </c>
      <c r="B14" s="112" t="s">
        <v>20</v>
      </c>
      <c r="C14" s="155"/>
      <c r="D14" s="155"/>
    </row>
    <row r="15" spans="1:4" ht="40.4" customHeight="1" x14ac:dyDescent="0.65">
      <c r="A15" s="109" t="s">
        <v>21</v>
      </c>
      <c r="B15" s="112" t="s">
        <v>22</v>
      </c>
      <c r="C15" s="155"/>
      <c r="D15" s="155"/>
    </row>
    <row r="16" spans="1:4" ht="61.7" customHeight="1" x14ac:dyDescent="0.65">
      <c r="A16" s="109" t="s">
        <v>23</v>
      </c>
      <c r="B16" s="112" t="s">
        <v>24</v>
      </c>
      <c r="C16" s="155"/>
      <c r="D16" s="155"/>
    </row>
    <row r="17" spans="1:4" ht="153" customHeight="1" x14ac:dyDescent="0.65">
      <c r="A17" s="109" t="s">
        <v>25</v>
      </c>
      <c r="B17" s="112" t="s">
        <v>26</v>
      </c>
      <c r="C17" s="155"/>
      <c r="D17" s="155"/>
    </row>
    <row r="18" spans="1:4" ht="37.5" customHeight="1" x14ac:dyDescent="0.65">
      <c r="A18" s="110" t="s">
        <v>27</v>
      </c>
      <c r="B18" s="112" t="s">
        <v>28</v>
      </c>
      <c r="C18" s="155"/>
      <c r="D18" s="155"/>
    </row>
    <row r="19" spans="1:4" ht="37.5" customHeight="1" x14ac:dyDescent="0.65">
      <c r="A19" s="196" t="s">
        <v>29</v>
      </c>
      <c r="B19" s="197"/>
      <c r="C19" s="155"/>
      <c r="D19" s="155"/>
    </row>
    <row r="20" spans="1:4" ht="19.7" customHeight="1" x14ac:dyDescent="0.65">
      <c r="A20" s="194" t="s">
        <v>30</v>
      </c>
      <c r="B20" s="195"/>
      <c r="C20" s="155"/>
      <c r="D20" s="155"/>
    </row>
    <row r="21" spans="1:4" ht="26.65" customHeight="1" x14ac:dyDescent="0.65">
      <c r="A21" s="109" t="s">
        <v>11</v>
      </c>
      <c r="B21" s="34" t="s">
        <v>31</v>
      </c>
      <c r="C21" s="155"/>
      <c r="D21" s="155"/>
    </row>
    <row r="22" spans="1:4" ht="26.65" hidden="1" customHeight="1" x14ac:dyDescent="0.65">
      <c r="A22" s="109" t="s">
        <v>32</v>
      </c>
      <c r="B22" s="111" t="s">
        <v>33</v>
      </c>
      <c r="C22" s="114"/>
      <c r="D22" s="115"/>
    </row>
    <row r="23" spans="1:4" ht="26.65" hidden="1" customHeight="1" x14ac:dyDescent="0.65">
      <c r="A23" s="109" t="s">
        <v>34</v>
      </c>
      <c r="B23" s="111" t="s">
        <v>35</v>
      </c>
      <c r="C23" s="116"/>
      <c r="D23" s="117"/>
    </row>
    <row r="24" spans="1:4" ht="26.65" hidden="1" customHeight="1" x14ac:dyDescent="0.65">
      <c r="A24" s="109" t="s">
        <v>36</v>
      </c>
      <c r="B24" s="111" t="s">
        <v>37</v>
      </c>
      <c r="C24" s="114"/>
      <c r="D24" s="115"/>
    </row>
    <row r="25" spans="1:4" ht="26.65" hidden="1" customHeight="1" x14ac:dyDescent="0.65">
      <c r="A25" s="109" t="s">
        <v>38</v>
      </c>
      <c r="B25" s="111" t="s">
        <v>39</v>
      </c>
      <c r="C25" s="114"/>
      <c r="D25" s="115"/>
    </row>
    <row r="26" spans="1:4" ht="26.65" hidden="1" customHeight="1" x14ac:dyDescent="0.65">
      <c r="A26" s="109" t="s">
        <v>40</v>
      </c>
      <c r="B26" s="111" t="s">
        <v>41</v>
      </c>
      <c r="C26" s="114"/>
      <c r="D26" s="115"/>
    </row>
    <row r="27" spans="1:4" ht="20.25" customHeight="1" x14ac:dyDescent="0.65">
      <c r="A27" s="194" t="s">
        <v>42</v>
      </c>
      <c r="B27" s="195"/>
      <c r="C27" s="118"/>
      <c r="D27" s="118"/>
    </row>
    <row r="28" spans="1:4" ht="26.45" customHeight="1" x14ac:dyDescent="0.65">
      <c r="A28" s="109" t="s">
        <v>11</v>
      </c>
      <c r="B28" s="111" t="s">
        <v>43</v>
      </c>
      <c r="C28" s="155"/>
      <c r="D28" s="155"/>
    </row>
    <row r="29" spans="1:4" ht="13.5" customHeight="1" x14ac:dyDescent="0.65">
      <c r="A29" s="194" t="s">
        <v>44</v>
      </c>
      <c r="B29" s="195"/>
      <c r="C29" s="155"/>
      <c r="D29" s="155"/>
    </row>
    <row r="30" spans="1:4" ht="51.75" customHeight="1" x14ac:dyDescent="0.65">
      <c r="A30" s="109" t="s">
        <v>11</v>
      </c>
      <c r="B30" s="111" t="s">
        <v>45</v>
      </c>
      <c r="C30" s="155"/>
      <c r="D30" s="155"/>
    </row>
    <row r="31" spans="1:4" ht="17.899999999999999" customHeight="1" x14ac:dyDescent="0.65">
      <c r="A31" s="194" t="s">
        <v>46</v>
      </c>
      <c r="B31" s="195"/>
      <c r="C31" s="155"/>
      <c r="D31" s="155"/>
    </row>
    <row r="32" spans="1:4" ht="27.2" customHeight="1" x14ac:dyDescent="0.65">
      <c r="A32" s="109" t="s">
        <v>11</v>
      </c>
      <c r="B32" s="111" t="s">
        <v>47</v>
      </c>
      <c r="C32" s="155"/>
      <c r="D32" s="155"/>
    </row>
    <row r="33" spans="1:3" ht="18.95" customHeight="1" x14ac:dyDescent="0.65">
      <c r="A33" s="194" t="s">
        <v>48</v>
      </c>
      <c r="B33" s="195"/>
      <c r="C33" s="155"/>
    </row>
    <row r="34" spans="1:3" ht="60.65" customHeight="1" x14ac:dyDescent="0.65">
      <c r="A34" s="109" t="s">
        <v>11</v>
      </c>
      <c r="B34" s="111" t="s">
        <v>49</v>
      </c>
      <c r="C34" s="155"/>
    </row>
    <row r="35" spans="1:3" ht="13.4" customHeight="1" x14ac:dyDescent="0.65">
      <c r="A35" s="194" t="s">
        <v>50</v>
      </c>
      <c r="B35" s="195"/>
      <c r="C35" s="155"/>
    </row>
    <row r="36" spans="1:3" ht="40.5" customHeight="1" x14ac:dyDescent="0.65">
      <c r="A36" s="109" t="s">
        <v>11</v>
      </c>
      <c r="B36" s="111" t="s">
        <v>51</v>
      </c>
      <c r="C36" s="155"/>
    </row>
    <row r="37" spans="1:3" x14ac:dyDescent="0.65">
      <c r="A37" s="177"/>
      <c r="B37" s="177"/>
      <c r="C37" s="155"/>
    </row>
    <row r="38" spans="1:3" x14ac:dyDescent="0.65">
      <c r="A38" s="82"/>
      <c r="B38" s="177"/>
      <c r="C38" s="155"/>
    </row>
    <row r="39" spans="1:3" x14ac:dyDescent="0.65">
      <c r="A39" s="177"/>
      <c r="B39" s="177"/>
      <c r="C39" s="155"/>
    </row>
    <row r="40" spans="1:3" x14ac:dyDescent="0.65">
      <c r="A40" s="177"/>
      <c r="B40" s="177"/>
      <c r="C40" s="155"/>
    </row>
    <row r="41" spans="1:3" x14ac:dyDescent="0.65">
      <c r="A41" s="82"/>
      <c r="B41" s="177"/>
      <c r="C41" s="155"/>
    </row>
    <row r="42" spans="1:3" x14ac:dyDescent="0.65">
      <c r="A42" s="177"/>
      <c r="B42" s="177"/>
      <c r="C42" s="155"/>
    </row>
    <row r="43" spans="1:3" x14ac:dyDescent="0.65">
      <c r="A43" s="177"/>
      <c r="B43" s="177"/>
      <c r="C43" s="155"/>
    </row>
    <row r="44" spans="1:3" x14ac:dyDescent="0.65">
      <c r="A44" s="177"/>
      <c r="B44" s="177"/>
      <c r="C44" s="155"/>
    </row>
  </sheetData>
  <mergeCells count="12">
    <mergeCell ref="A20:B20"/>
    <mergeCell ref="A31:B31"/>
    <mergeCell ref="A33:B33"/>
    <mergeCell ref="A35:B35"/>
    <mergeCell ref="A19:B19"/>
    <mergeCell ref="A27:B27"/>
    <mergeCell ref="A29:B29"/>
    <mergeCell ref="B3:C3"/>
    <mergeCell ref="C4:D4"/>
    <mergeCell ref="A5:B5"/>
    <mergeCell ref="A8:B8"/>
    <mergeCell ref="A9:B9"/>
  </mergeCells>
  <pageMargins left="0.7" right="0.7" top="0.75" bottom="0.75" header="0.3" footer="0.3"/>
  <pageSetup scale="84" orientation="landscape" horizontalDpi="90" verticalDpi="90" r:id="rId1"/>
  <colBreaks count="1" manualBreakCount="1">
    <brk id="2"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A90FC-CFCD-4F3C-B3BA-AEA72502EC26}">
  <dimension ref="A1:M153"/>
  <sheetViews>
    <sheetView zoomScale="80" zoomScaleNormal="80" workbookViewId="0">
      <selection activeCell="B6" sqref="B6:L6"/>
    </sheetView>
  </sheetViews>
  <sheetFormatPr defaultColWidth="8.7265625" defaultRowHeight="14.25" x14ac:dyDescent="0.65"/>
  <cols>
    <col min="1" max="1" width="60.7265625" style="101" customWidth="1"/>
    <col min="2" max="11" width="9.1328125" style="101" customWidth="1"/>
    <col min="12" max="12" width="41.1328125" style="101" customWidth="1"/>
    <col min="13" max="13" width="35" style="101" customWidth="1"/>
    <col min="14" max="16384" width="8.7265625" style="101"/>
  </cols>
  <sheetData>
    <row r="1" spans="1:12" x14ac:dyDescent="0.65">
      <c r="A1" s="127"/>
      <c r="B1" s="204" t="s">
        <v>0</v>
      </c>
      <c r="C1" s="205"/>
      <c r="D1" s="205"/>
      <c r="E1" s="205"/>
      <c r="F1" s="205"/>
      <c r="G1" s="205"/>
      <c r="H1" s="205"/>
      <c r="I1" s="205"/>
      <c r="J1" s="205"/>
      <c r="K1" s="205"/>
      <c r="L1" s="205"/>
    </row>
    <row r="2" spans="1:12" ht="97.5" customHeight="1" x14ac:dyDescent="0.7">
      <c r="A2" s="127"/>
      <c r="B2" s="206" t="s">
        <v>3</v>
      </c>
      <c r="C2" s="206"/>
      <c r="D2" s="206"/>
      <c r="E2" s="206"/>
      <c r="F2" s="206"/>
      <c r="G2" s="206"/>
      <c r="H2" s="206"/>
      <c r="I2" s="206"/>
      <c r="J2" s="206"/>
      <c r="K2" s="206"/>
      <c r="L2" s="206"/>
    </row>
    <row r="3" spans="1:12" ht="14.75" x14ac:dyDescent="0.75">
      <c r="A3" s="128" t="s">
        <v>5</v>
      </c>
      <c r="B3" s="191"/>
      <c r="C3" s="191"/>
      <c r="D3" s="191"/>
      <c r="E3" s="191"/>
      <c r="F3" s="191"/>
      <c r="G3" s="191"/>
      <c r="H3" s="191"/>
      <c r="I3" s="191"/>
      <c r="J3" s="191"/>
      <c r="K3" s="191"/>
      <c r="L3" s="175"/>
    </row>
    <row r="4" spans="1:12" ht="14.75" x14ac:dyDescent="0.75">
      <c r="A4" s="128" t="str">
        <f>'Cover Page'!A16</f>
        <v>As of: May 26, 2021</v>
      </c>
      <c r="B4" s="191"/>
      <c r="C4" s="191"/>
      <c r="D4" s="191"/>
      <c r="E4" s="191"/>
      <c r="F4" s="191"/>
      <c r="G4" s="191"/>
      <c r="H4" s="191"/>
      <c r="I4" s="191"/>
      <c r="J4" s="191"/>
      <c r="K4" s="191"/>
      <c r="L4" s="175"/>
    </row>
    <row r="5" spans="1:12" ht="14.75" x14ac:dyDescent="0.75">
      <c r="A5" s="128"/>
      <c r="B5" s="191"/>
      <c r="C5" s="191"/>
      <c r="D5" s="191"/>
      <c r="E5" s="191"/>
      <c r="F5" s="191"/>
      <c r="G5" s="191"/>
      <c r="H5" s="191"/>
      <c r="I5" s="191"/>
      <c r="J5" s="191"/>
      <c r="K5" s="191"/>
      <c r="L5" s="175"/>
    </row>
    <row r="6" spans="1:12" ht="14.5" x14ac:dyDescent="0.65">
      <c r="A6" s="176" t="s">
        <v>52</v>
      </c>
      <c r="B6" s="198"/>
      <c r="C6" s="198"/>
      <c r="D6" s="198"/>
      <c r="E6" s="198"/>
      <c r="F6" s="198"/>
      <c r="G6" s="198"/>
      <c r="H6" s="198"/>
      <c r="I6" s="198"/>
      <c r="J6" s="198"/>
      <c r="K6" s="198"/>
      <c r="L6" s="198"/>
    </row>
    <row r="7" spans="1:12" ht="14.5" x14ac:dyDescent="0.65">
      <c r="A7" s="176" t="s">
        <v>53</v>
      </c>
      <c r="B7" s="198"/>
      <c r="C7" s="198"/>
      <c r="D7" s="198"/>
      <c r="E7" s="198"/>
      <c r="F7" s="198"/>
      <c r="G7" s="198"/>
      <c r="H7" s="198"/>
      <c r="I7" s="198"/>
      <c r="J7" s="198"/>
      <c r="K7" s="198"/>
      <c r="L7" s="198"/>
    </row>
    <row r="8" spans="1:12" ht="30.4" customHeight="1" x14ac:dyDescent="0.65">
      <c r="A8" s="176" t="s">
        <v>54</v>
      </c>
      <c r="B8" s="198"/>
      <c r="C8" s="198"/>
      <c r="D8" s="198"/>
      <c r="E8" s="198"/>
      <c r="F8" s="198"/>
      <c r="G8" s="198"/>
      <c r="H8" s="198"/>
      <c r="I8" s="198"/>
      <c r="J8" s="198"/>
      <c r="K8" s="198"/>
      <c r="L8" s="198"/>
    </row>
    <row r="9" spans="1:12" s="102" customFormat="1" ht="14.25" customHeight="1" x14ac:dyDescent="0.65">
      <c r="A9" s="124" t="s">
        <v>55</v>
      </c>
      <c r="B9" s="87" t="s">
        <v>0</v>
      </c>
      <c r="C9" s="87"/>
      <c r="D9" s="87"/>
      <c r="E9" s="87"/>
      <c r="F9" s="87"/>
      <c r="G9" s="87"/>
      <c r="H9" s="87"/>
      <c r="I9" s="87"/>
      <c r="J9" s="87"/>
      <c r="K9" s="87"/>
      <c r="L9" s="87"/>
    </row>
    <row r="10" spans="1:12" ht="14.5" x14ac:dyDescent="0.65">
      <c r="A10" s="91" t="s">
        <v>19</v>
      </c>
      <c r="B10" s="91" t="s">
        <v>25</v>
      </c>
      <c r="C10" s="202" t="s">
        <v>27</v>
      </c>
      <c r="D10" s="202"/>
      <c r="E10" s="202"/>
      <c r="F10" s="202"/>
      <c r="G10" s="202"/>
      <c r="H10" s="202"/>
      <c r="I10" s="202"/>
      <c r="J10" s="202"/>
      <c r="K10" s="202"/>
      <c r="L10" s="202"/>
    </row>
    <row r="11" spans="1:12" ht="14.5" x14ac:dyDescent="0.65">
      <c r="A11" s="177" t="str">
        <f>CONCATENATE('FFM-Functions-Activities'!B3,": ",'FFM-Functions-Activities'!D3)</f>
        <v>Budget Execution: Budget Setup and Maintenance</v>
      </c>
      <c r="B11" s="36"/>
      <c r="C11" s="198"/>
      <c r="D11" s="198"/>
      <c r="E11" s="198"/>
      <c r="F11" s="198"/>
      <c r="G11" s="198"/>
      <c r="H11" s="198"/>
      <c r="I11" s="198"/>
      <c r="J11" s="198"/>
      <c r="K11" s="198"/>
      <c r="L11" s="198"/>
    </row>
    <row r="12" spans="1:12" ht="14.5" x14ac:dyDescent="0.65">
      <c r="A12" s="177" t="str">
        <f>CONCATENATE('FFM-Functions-Activities'!B4,": ",'FFM-Functions-Activities'!D4)</f>
        <v>Budget Execution: Fund Allocation and Control</v>
      </c>
      <c r="B12" s="36"/>
      <c r="C12" s="198"/>
      <c r="D12" s="198"/>
      <c r="E12" s="198"/>
      <c r="F12" s="198"/>
      <c r="G12" s="198"/>
      <c r="H12" s="198"/>
      <c r="I12" s="198"/>
      <c r="J12" s="198"/>
      <c r="K12" s="198"/>
      <c r="L12" s="198"/>
    </row>
    <row r="13" spans="1:12" ht="14.5" x14ac:dyDescent="0.65">
      <c r="A13" s="177" t="str">
        <f>CONCATENATE('FFM-Functions-Activities'!B5,": ",'FFM-Functions-Activities'!D5)</f>
        <v>Budget Execution: Budgetary Reporting</v>
      </c>
      <c r="B13" s="36"/>
      <c r="C13" s="198"/>
      <c r="D13" s="198"/>
      <c r="E13" s="198"/>
      <c r="F13" s="198"/>
      <c r="G13" s="198"/>
      <c r="H13" s="198"/>
      <c r="I13" s="198"/>
      <c r="J13" s="198"/>
      <c r="K13" s="198"/>
      <c r="L13" s="198"/>
    </row>
    <row r="14" spans="1:12" ht="28.5" x14ac:dyDescent="0.65">
      <c r="A14" s="177" t="str">
        <f>CONCATENATE('FFM-Functions-Activities'!B6,": ",'FFM-Functions-Activities'!D6)</f>
        <v>Financial Asset Information Management: Financial Asset Information Processing -  Property, Plant, and Equipment</v>
      </c>
      <c r="B14" s="36"/>
      <c r="C14" s="198"/>
      <c r="D14" s="203"/>
      <c r="E14" s="203"/>
      <c r="F14" s="203"/>
      <c r="G14" s="203"/>
      <c r="H14" s="203"/>
      <c r="I14" s="203"/>
      <c r="J14" s="203"/>
      <c r="K14" s="203"/>
      <c r="L14" s="203"/>
    </row>
    <row r="15" spans="1:12" ht="28.5" x14ac:dyDescent="0.65">
      <c r="A15" s="177" t="str">
        <f>CONCATENATE('FFM-Functions-Activities'!B7,": ",'FFM-Functions-Activities'!D7)</f>
        <v>Financial Asset Information Management: Financial Asset Information Processing - Loans</v>
      </c>
      <c r="B15" s="36"/>
      <c r="C15" s="198"/>
      <c r="D15" s="203"/>
      <c r="E15" s="203"/>
      <c r="F15" s="203"/>
      <c r="G15" s="203"/>
      <c r="H15" s="203"/>
      <c r="I15" s="203"/>
      <c r="J15" s="203"/>
      <c r="K15" s="203"/>
      <c r="L15" s="203"/>
    </row>
    <row r="16" spans="1:12" ht="28.5" x14ac:dyDescent="0.65">
      <c r="A16" s="177" t="str">
        <f>CONCATENATE('FFM-Functions-Activities'!B8,": ",'FFM-Functions-Activities'!D8)</f>
        <v>Financial Asset Information Management: Financial Asset Information Processing - Heritage Assets and Stewardship Land</v>
      </c>
      <c r="B16" s="36"/>
      <c r="C16" s="198"/>
      <c r="D16" s="203"/>
      <c r="E16" s="203"/>
      <c r="F16" s="203"/>
      <c r="G16" s="203"/>
      <c r="H16" s="203"/>
      <c r="I16" s="203"/>
      <c r="J16" s="203"/>
      <c r="K16" s="203"/>
      <c r="L16" s="203"/>
    </row>
    <row r="17" spans="1:13" ht="28.5" x14ac:dyDescent="0.65">
      <c r="A17" s="177" t="str">
        <f>CONCATENATE('FFM-Functions-Activities'!B9,": ",'FFM-Functions-Activities'!D9)</f>
        <v>Financial Asset Information Management: Financial Asset Information Processing - Federal Oil and Gas Resources</v>
      </c>
      <c r="B17" s="36"/>
      <c r="C17" s="198"/>
      <c r="D17" s="203"/>
      <c r="E17" s="203"/>
      <c r="F17" s="203"/>
      <c r="G17" s="203"/>
      <c r="H17" s="203"/>
      <c r="I17" s="203"/>
      <c r="J17" s="203"/>
      <c r="K17" s="203"/>
      <c r="L17" s="203"/>
      <c r="M17" s="155"/>
    </row>
    <row r="18" spans="1:13" ht="28.5" x14ac:dyDescent="0.65">
      <c r="A18" s="177" t="str">
        <f>CONCATENATE('FFM-Functions-Activities'!B10,": ",'FFM-Functions-Activities'!D10)</f>
        <v>Financial Asset Information Management: Financial Asset Information Processing - Other Federal Assets</v>
      </c>
      <c r="B18" s="36"/>
      <c r="C18" s="198"/>
      <c r="D18" s="203"/>
      <c r="E18" s="203"/>
      <c r="F18" s="203"/>
      <c r="G18" s="203"/>
      <c r="H18" s="203"/>
      <c r="I18" s="203"/>
      <c r="J18" s="203"/>
      <c r="K18" s="203"/>
      <c r="L18" s="203"/>
      <c r="M18" s="155"/>
    </row>
    <row r="19" spans="1:13" ht="28.5" x14ac:dyDescent="0.65">
      <c r="A19" s="177" t="str">
        <f>CONCATENATE('FFM-Functions-Activities'!B11,": ",'FFM-Functions-Activities'!D11)</f>
        <v>Financial Asset Information Management: Financial Asset Information Reporting</v>
      </c>
      <c r="B19" s="36"/>
      <c r="C19" s="198"/>
      <c r="D19" s="203"/>
      <c r="E19" s="203"/>
      <c r="F19" s="203"/>
      <c r="G19" s="203"/>
      <c r="H19" s="203"/>
      <c r="I19" s="203"/>
      <c r="J19" s="203"/>
      <c r="K19" s="203"/>
      <c r="L19" s="203"/>
      <c r="M19" s="155"/>
    </row>
    <row r="20" spans="1:13" ht="14.5" x14ac:dyDescent="0.65">
      <c r="A20" s="177" t="str">
        <f>CONCATENATE('FFM-Functions-Activities'!B12,": ",'FFM-Functions-Activities'!D12)</f>
        <v>Payable Management: Payee Setup and Maintenance</v>
      </c>
      <c r="B20" s="36"/>
      <c r="C20" s="198"/>
      <c r="D20" s="203"/>
      <c r="E20" s="203"/>
      <c r="F20" s="203"/>
      <c r="G20" s="203"/>
      <c r="H20" s="203"/>
      <c r="I20" s="203"/>
      <c r="J20" s="203"/>
      <c r="K20" s="203"/>
      <c r="L20" s="203"/>
      <c r="M20" s="155"/>
    </row>
    <row r="21" spans="1:13" ht="14.5" x14ac:dyDescent="0.65">
      <c r="A21" s="177" t="str">
        <f>CONCATENATE('FFM-Functions-Activities'!B13,": ",'FFM-Functions-Activities'!D13)</f>
        <v>Payable Management: Obligation Management</v>
      </c>
      <c r="B21" s="36"/>
      <c r="C21" s="198"/>
      <c r="D21" s="203"/>
      <c r="E21" s="203"/>
      <c r="F21" s="203"/>
      <c r="G21" s="203"/>
      <c r="H21" s="203"/>
      <c r="I21" s="203"/>
      <c r="J21" s="203"/>
      <c r="K21" s="203"/>
      <c r="L21" s="203"/>
      <c r="M21" s="155"/>
    </row>
    <row r="22" spans="1:13" ht="28.5" x14ac:dyDescent="0.65">
      <c r="A22" s="177" t="str">
        <f>CONCATENATE('FFM-Functions-Activities'!B14,": ",'FFM-Functions-Activities'!D14)</f>
        <v>Payable Management: Payment Processing - Intragovernmental Payments</v>
      </c>
      <c r="B22" s="36"/>
      <c r="C22" s="198"/>
      <c r="D22" s="203"/>
      <c r="E22" s="203"/>
      <c r="F22" s="203"/>
      <c r="G22" s="203"/>
      <c r="H22" s="203"/>
      <c r="I22" s="203"/>
      <c r="J22" s="203"/>
      <c r="K22" s="203"/>
      <c r="L22" s="203"/>
      <c r="M22" s="155"/>
    </row>
    <row r="23" spans="1:13" ht="14.5" x14ac:dyDescent="0.65">
      <c r="A23" s="177" t="str">
        <f>CONCATENATE('FFM-Functions-Activities'!B15,": ",'FFM-Functions-Activities'!D15)</f>
        <v>Payable Management: Payment Processing - Payroll Payments</v>
      </c>
      <c r="B23" s="36"/>
      <c r="C23" s="198"/>
      <c r="D23" s="203"/>
      <c r="E23" s="203"/>
      <c r="F23" s="203"/>
      <c r="G23" s="203"/>
      <c r="H23" s="203"/>
      <c r="I23" s="203"/>
      <c r="J23" s="203"/>
      <c r="K23" s="203"/>
      <c r="L23" s="203"/>
      <c r="M23" s="155"/>
    </row>
    <row r="24" spans="1:13" ht="28.5" x14ac:dyDescent="0.65">
      <c r="A24" s="177" t="str">
        <f>CONCATENATE('FFM-Functions-Activities'!B16,": ",'FFM-Functions-Activities'!D16)</f>
        <v>Payable Management: Payment Processing - Travel Temporary Duty (TDY) and Local Payments</v>
      </c>
      <c r="B24" s="36"/>
      <c r="C24" s="198"/>
      <c r="D24" s="203"/>
      <c r="E24" s="203"/>
      <c r="F24" s="203"/>
      <c r="G24" s="203"/>
      <c r="H24" s="203"/>
      <c r="I24" s="203"/>
      <c r="J24" s="203"/>
      <c r="K24" s="203"/>
      <c r="L24" s="203"/>
      <c r="M24" s="155"/>
    </row>
    <row r="25" spans="1:13" ht="28.5" x14ac:dyDescent="0.65">
      <c r="A25" s="177" t="str">
        <f>CONCATENATE('FFM-Functions-Activities'!B17,": ",'FFM-Functions-Activities'!D17)</f>
        <v>Payable Management: Payment Processing - Travel PCS Payments</v>
      </c>
      <c r="B25" s="36"/>
      <c r="C25" s="198"/>
      <c r="D25" s="203"/>
      <c r="E25" s="203"/>
      <c r="F25" s="203"/>
      <c r="G25" s="203"/>
      <c r="H25" s="203"/>
      <c r="I25" s="203"/>
      <c r="J25" s="203"/>
      <c r="K25" s="203"/>
      <c r="L25" s="203"/>
      <c r="M25" s="155"/>
    </row>
    <row r="26" spans="1:13" ht="28.5" x14ac:dyDescent="0.65">
      <c r="A26" s="177" t="str">
        <f>CONCATENATE('FFM-Functions-Activities'!B18,": ",'FFM-Functions-Activities'!D18)</f>
        <v>Payable Management: Payment Processing - Commercial Payments</v>
      </c>
      <c r="B26" s="36"/>
      <c r="C26" s="198"/>
      <c r="D26" s="203"/>
      <c r="E26" s="203"/>
      <c r="F26" s="203"/>
      <c r="G26" s="203"/>
      <c r="H26" s="203"/>
      <c r="I26" s="203"/>
      <c r="J26" s="203"/>
      <c r="K26" s="203"/>
      <c r="L26" s="203"/>
      <c r="M26" s="155"/>
    </row>
    <row r="27" spans="1:13" ht="14.5" x14ac:dyDescent="0.65">
      <c r="A27" s="177" t="str">
        <f>CONCATENATE('FFM-Functions-Activities'!B19,": ",'FFM-Functions-Activities'!D19)</f>
        <v>Payable Management: Payment Processing - Grant Payments</v>
      </c>
      <c r="B27" s="36"/>
      <c r="C27" s="198"/>
      <c r="D27" s="203"/>
      <c r="E27" s="203"/>
      <c r="F27" s="203"/>
      <c r="G27" s="203"/>
      <c r="H27" s="203"/>
      <c r="I27" s="203"/>
      <c r="J27" s="203"/>
      <c r="K27" s="203"/>
      <c r="L27" s="203"/>
      <c r="M27" s="155"/>
    </row>
    <row r="28" spans="1:13" ht="14.5" x14ac:dyDescent="0.65">
      <c r="A28" s="177" t="str">
        <f>CONCATENATE('FFM-Functions-Activities'!B20,": ",'FFM-Functions-Activities'!D20)</f>
        <v>Payable Management: Payment Processing - Loan Payments</v>
      </c>
      <c r="B28" s="36"/>
      <c r="C28" s="198"/>
      <c r="D28" s="203"/>
      <c r="E28" s="203"/>
      <c r="F28" s="203"/>
      <c r="G28" s="203"/>
      <c r="H28" s="203"/>
      <c r="I28" s="203"/>
      <c r="J28" s="203"/>
      <c r="K28" s="203"/>
      <c r="L28" s="203"/>
      <c r="M28" s="155"/>
    </row>
    <row r="29" spans="1:13" ht="42.75" x14ac:dyDescent="0.65">
      <c r="A29" s="177" t="str">
        <f>CONCATENATE('FFM-Functions-Activities'!B21,": ",'FFM-Functions-Activities'!D21)</f>
        <v xml:space="preserve">Payable Management: Payment Processing - Other Payments (Foreign and Miscellaneous Payments)
</v>
      </c>
      <c r="B29" s="36"/>
      <c r="C29" s="198"/>
      <c r="D29" s="203"/>
      <c r="E29" s="203"/>
      <c r="F29" s="203"/>
      <c r="G29" s="203"/>
      <c r="H29" s="203"/>
      <c r="I29" s="203"/>
      <c r="J29" s="203"/>
      <c r="K29" s="203"/>
      <c r="L29" s="203"/>
      <c r="M29" s="155"/>
    </row>
    <row r="30" spans="1:13" ht="14.5" x14ac:dyDescent="0.65">
      <c r="A30" s="177" t="str">
        <f>CONCATENATE('FFM-Functions-Activities'!B22,": ",'FFM-Functions-Activities'!D22)</f>
        <v>Payable Management: Payment Disbursement</v>
      </c>
      <c r="B30" s="36"/>
      <c r="C30" s="198"/>
      <c r="D30" s="203"/>
      <c r="E30" s="203"/>
      <c r="F30" s="203"/>
      <c r="G30" s="203"/>
      <c r="H30" s="203"/>
      <c r="I30" s="203"/>
      <c r="J30" s="203"/>
      <c r="K30" s="203"/>
      <c r="L30" s="203"/>
      <c r="M30" s="155"/>
    </row>
    <row r="31" spans="1:13" ht="28.5" x14ac:dyDescent="0.65">
      <c r="A31" s="177" t="str">
        <f>CONCATENATE('FFM-Functions-Activities'!B23,": ",'FFM-Functions-Activities'!D23)</f>
        <v>Payable Management: Payment Confirmation and Issue Resolution</v>
      </c>
      <c r="B31" s="36"/>
      <c r="C31" s="198"/>
      <c r="D31" s="203"/>
      <c r="E31" s="203"/>
      <c r="F31" s="203"/>
      <c r="G31" s="203"/>
      <c r="H31" s="203"/>
      <c r="I31" s="203"/>
      <c r="J31" s="203"/>
      <c r="K31" s="203"/>
      <c r="L31" s="203"/>
      <c r="M31" s="155"/>
    </row>
    <row r="32" spans="1:13" ht="14.5" x14ac:dyDescent="0.65">
      <c r="A32" s="177" t="str">
        <f>CONCATENATE('FFM-Functions-Activities'!B24,": ",'FFM-Functions-Activities'!D24)</f>
        <v>Payable Management: Payment Reporting</v>
      </c>
      <c r="B32" s="36"/>
      <c r="C32" s="198"/>
      <c r="D32" s="203"/>
      <c r="E32" s="203"/>
      <c r="F32" s="203"/>
      <c r="G32" s="203"/>
      <c r="H32" s="203"/>
      <c r="I32" s="203"/>
      <c r="J32" s="203"/>
      <c r="K32" s="203"/>
      <c r="L32" s="203"/>
      <c r="M32" s="155"/>
    </row>
    <row r="33" spans="1:13" ht="14.5" x14ac:dyDescent="0.65">
      <c r="A33" s="177" t="str">
        <f>CONCATENATE('FFM-Functions-Activities'!B25,": ",'FFM-Functions-Activities'!D25)</f>
        <v>Revenue Management: Revenue Processing</v>
      </c>
      <c r="B33" s="36"/>
      <c r="C33" s="198"/>
      <c r="D33" s="203"/>
      <c r="E33" s="203"/>
      <c r="F33" s="203"/>
      <c r="G33" s="203"/>
      <c r="H33" s="203"/>
      <c r="I33" s="203"/>
      <c r="J33" s="203"/>
      <c r="K33" s="203"/>
      <c r="L33" s="203"/>
      <c r="M33" s="155"/>
    </row>
    <row r="34" spans="1:13" ht="14.5" x14ac:dyDescent="0.65">
      <c r="A34" s="177" t="str">
        <f>CONCATENATE('FFM-Functions-Activities'!B26,": ",'FFM-Functions-Activities'!D26)</f>
        <v>Revenue Management: Revenue Reporting</v>
      </c>
      <c r="B34" s="36"/>
      <c r="C34" s="198"/>
      <c r="D34" s="203"/>
      <c r="E34" s="203"/>
      <c r="F34" s="203"/>
      <c r="G34" s="203"/>
      <c r="H34" s="203"/>
      <c r="I34" s="203"/>
      <c r="J34" s="203"/>
      <c r="K34" s="203"/>
      <c r="L34" s="203"/>
      <c r="M34" s="155"/>
    </row>
    <row r="35" spans="1:13" ht="28.5" x14ac:dyDescent="0.65">
      <c r="A35" s="177" t="str">
        <f>CONCATENATE('FFM-Functions-Activities'!B27,": ",'FFM-Functions-Activities'!D27)</f>
        <v>Reimbursable Management: Reimbursable Agreement Setup and Maintenance</v>
      </c>
      <c r="B35" s="36"/>
      <c r="C35" s="198"/>
      <c r="D35" s="203"/>
      <c r="E35" s="203"/>
      <c r="F35" s="203"/>
      <c r="G35" s="203"/>
      <c r="H35" s="203"/>
      <c r="I35" s="203"/>
      <c r="J35" s="203"/>
      <c r="K35" s="203"/>
      <c r="L35" s="203"/>
      <c r="M35" s="155"/>
    </row>
    <row r="36" spans="1:13" ht="14.5" x14ac:dyDescent="0.65">
      <c r="A36" s="177" t="str">
        <f>CONCATENATE('FFM-Functions-Activities'!B28,": ",'FFM-Functions-Activities'!D28)</f>
        <v>Reimbursable Management: Reimbursable Invoicing</v>
      </c>
      <c r="B36" s="36"/>
      <c r="C36" s="198"/>
      <c r="D36" s="203"/>
      <c r="E36" s="203"/>
      <c r="F36" s="203"/>
      <c r="G36" s="203"/>
      <c r="H36" s="203"/>
      <c r="I36" s="203"/>
      <c r="J36" s="203"/>
      <c r="K36" s="203"/>
      <c r="L36" s="203"/>
      <c r="M36" s="155"/>
    </row>
    <row r="37" spans="1:13" ht="14.5" x14ac:dyDescent="0.65">
      <c r="A37" s="177" t="str">
        <f>CONCATENATE('FFM-Functions-Activities'!B29,": ",'FFM-Functions-Activities'!D29)</f>
        <v>Reimbursable Management: Reimbursable Receipt Processing</v>
      </c>
      <c r="B37" s="36"/>
      <c r="C37" s="198"/>
      <c r="D37" s="203"/>
      <c r="E37" s="203"/>
      <c r="F37" s="203"/>
      <c r="G37" s="203"/>
      <c r="H37" s="203"/>
      <c r="I37" s="203"/>
      <c r="J37" s="203"/>
      <c r="K37" s="203"/>
      <c r="L37" s="203"/>
      <c r="M37" s="155"/>
    </row>
    <row r="38" spans="1:13" ht="14.5" x14ac:dyDescent="0.65">
      <c r="A38" s="177" t="str">
        <f>CONCATENATE('FFM-Functions-Activities'!B30,": ",'FFM-Functions-Activities'!D30)</f>
        <v>Reimbursable Management: Reimbursable Reconciliation</v>
      </c>
      <c r="B38" s="36"/>
      <c r="C38" s="198"/>
      <c r="D38" s="203"/>
      <c r="E38" s="203"/>
      <c r="F38" s="203"/>
      <c r="G38" s="203"/>
      <c r="H38" s="203"/>
      <c r="I38" s="203"/>
      <c r="J38" s="203"/>
      <c r="K38" s="203"/>
      <c r="L38" s="203"/>
      <c r="M38" s="155"/>
    </row>
    <row r="39" spans="1:13" ht="14.5" x14ac:dyDescent="0.65">
      <c r="A39" s="177" t="str">
        <f>CONCATENATE('FFM-Functions-Activities'!B31,": ",'FFM-Functions-Activities'!D31)</f>
        <v>Reimbursable Management: Reimbursable Closeout</v>
      </c>
      <c r="B39" s="36"/>
      <c r="C39" s="198"/>
      <c r="D39" s="203"/>
      <c r="E39" s="203"/>
      <c r="F39" s="203"/>
      <c r="G39" s="203"/>
      <c r="H39" s="203"/>
      <c r="I39" s="203"/>
      <c r="J39" s="203"/>
      <c r="K39" s="203"/>
      <c r="L39" s="203"/>
      <c r="M39" s="155"/>
    </row>
    <row r="40" spans="1:13" ht="14.5" x14ac:dyDescent="0.65">
      <c r="A40" s="177" t="str">
        <f>CONCATENATE('FFM-Functions-Activities'!B32,": ",'FFM-Functions-Activities'!D32)</f>
        <v>Reimbursable Management: Reimbursable Reporting</v>
      </c>
      <c r="B40" s="36"/>
      <c r="C40" s="198"/>
      <c r="D40" s="203"/>
      <c r="E40" s="203"/>
      <c r="F40" s="203"/>
      <c r="G40" s="203"/>
      <c r="H40" s="203"/>
      <c r="I40" s="203"/>
      <c r="J40" s="203"/>
      <c r="K40" s="203"/>
      <c r="L40" s="203"/>
      <c r="M40" s="155"/>
    </row>
    <row r="41" spans="1:13" ht="28.5" x14ac:dyDescent="0.65">
      <c r="A41" s="177" t="str">
        <f>CONCATENATE('FFM-Functions-Activities'!B33,": ",'FFM-Functions-Activities'!D33)</f>
        <v>Receivable and Collection Management: Payer Setup and Maintenance</v>
      </c>
      <c r="B41" s="36"/>
      <c r="C41" s="198"/>
      <c r="D41" s="203"/>
      <c r="E41" s="203"/>
      <c r="F41" s="203"/>
      <c r="G41" s="203"/>
      <c r="H41" s="203"/>
      <c r="I41" s="203"/>
      <c r="J41" s="203"/>
      <c r="K41" s="203"/>
      <c r="L41" s="203"/>
      <c r="M41" s="155"/>
    </row>
    <row r="42" spans="1:13" ht="28.5" x14ac:dyDescent="0.65">
      <c r="A42" s="177" t="str">
        <f>CONCATENATE('FFM-Functions-Activities'!B34,": ",'FFM-Functions-Activities'!D34)</f>
        <v>Receivable and Collection Management: Public Receivable Setup and Billing Invoicing</v>
      </c>
      <c r="B42" s="36"/>
      <c r="C42" s="198"/>
      <c r="D42" s="203"/>
      <c r="E42" s="203"/>
      <c r="F42" s="203"/>
      <c r="G42" s="203"/>
      <c r="H42" s="203"/>
      <c r="I42" s="203"/>
      <c r="J42" s="203"/>
      <c r="K42" s="203"/>
      <c r="L42" s="203"/>
      <c r="M42" s="155"/>
    </row>
    <row r="43" spans="1:13" ht="28.5" x14ac:dyDescent="0.65">
      <c r="A43" s="177" t="str">
        <f>CONCATENATE('FFM-Functions-Activities'!B35,": ",'FFM-Functions-Activities'!D35)</f>
        <v>Receivable and Collection Management: Public Receipt Processing</v>
      </c>
      <c r="B43" s="36"/>
      <c r="C43" s="198"/>
      <c r="D43" s="203"/>
      <c r="E43" s="203"/>
      <c r="F43" s="203"/>
      <c r="G43" s="203"/>
      <c r="H43" s="203"/>
      <c r="I43" s="203"/>
      <c r="J43" s="203"/>
      <c r="K43" s="203"/>
      <c r="L43" s="203"/>
      <c r="M43" s="155"/>
    </row>
    <row r="44" spans="1:13" ht="28.5" x14ac:dyDescent="0.65">
      <c r="A44" s="177" t="str">
        <f>CONCATENATE('FFM-Functions-Activities'!B36,": ",'FFM-Functions-Activities'!D36)</f>
        <v>Receivable and Collection Management: Credit Memo and Adjustment Processing</v>
      </c>
      <c r="B44" s="36"/>
      <c r="C44" s="198"/>
      <c r="D44" s="203"/>
      <c r="E44" s="203"/>
      <c r="F44" s="203"/>
      <c r="G44" s="203"/>
      <c r="H44" s="203"/>
      <c r="I44" s="203"/>
      <c r="J44" s="203"/>
      <c r="K44" s="203"/>
      <c r="L44" s="203"/>
      <c r="M44" s="155"/>
    </row>
    <row r="45" spans="1:13" ht="28.5" x14ac:dyDescent="0.65">
      <c r="A45" s="177" t="str">
        <f>CONCATENATE('FFM-Functions-Activities'!B37,": ",'FFM-Functions-Activities'!D37)</f>
        <v>Receivable and Collection Management: Public Receivable Monitoring and Maintenance</v>
      </c>
      <c r="B45" s="36"/>
      <c r="C45" s="198"/>
      <c r="D45" s="203"/>
      <c r="E45" s="203"/>
      <c r="F45" s="203"/>
      <c r="G45" s="203"/>
      <c r="H45" s="203"/>
      <c r="I45" s="203"/>
      <c r="J45" s="203"/>
      <c r="K45" s="203"/>
      <c r="L45" s="203"/>
      <c r="M45" s="155"/>
    </row>
    <row r="46" spans="1:13" ht="28.5" x14ac:dyDescent="0.65">
      <c r="A46" s="177" t="str">
        <f>CONCATENATE('FFM-Functions-Activities'!B38,": ",'FFM-Functions-Activities'!D38)</f>
        <v>Receivable and Collection Management: Public Receivable and Collection Reporting</v>
      </c>
      <c r="B46" s="36"/>
      <c r="C46" s="198"/>
      <c r="D46" s="203"/>
      <c r="E46" s="203"/>
      <c r="F46" s="203"/>
      <c r="G46" s="203"/>
      <c r="H46" s="203"/>
      <c r="I46" s="203"/>
      <c r="J46" s="203"/>
      <c r="K46" s="203"/>
      <c r="L46" s="203"/>
      <c r="M46" s="155"/>
    </row>
    <row r="47" spans="1:13" ht="14.5" x14ac:dyDescent="0.65">
      <c r="A47" s="177" t="str">
        <f>CONCATENATE('FFM-Functions-Activities'!B39,": ",'FFM-Functions-Activities'!D39)</f>
        <v>Delinquent Debt Management: Delinquent Debt Collection</v>
      </c>
      <c r="B47" s="36"/>
      <c r="C47" s="198"/>
      <c r="D47" s="203"/>
      <c r="E47" s="203"/>
      <c r="F47" s="203"/>
      <c r="G47" s="203"/>
      <c r="H47" s="203"/>
      <c r="I47" s="203"/>
      <c r="J47" s="203"/>
      <c r="K47" s="203"/>
      <c r="L47" s="203"/>
      <c r="M47" s="155"/>
    </row>
    <row r="48" spans="1:13" ht="28.5" x14ac:dyDescent="0.65">
      <c r="A48" s="177" t="str">
        <f>CONCATENATE('FFM-Functions-Activities'!B40,": ",'FFM-Functions-Activities'!D40)</f>
        <v>Delinquent Debt Management: Delinquent Debt Write-off and Closeout</v>
      </c>
      <c r="B48" s="36"/>
      <c r="C48" s="198"/>
      <c r="D48" s="203"/>
      <c r="E48" s="203"/>
      <c r="F48" s="203"/>
      <c r="G48" s="203"/>
      <c r="H48" s="203"/>
      <c r="I48" s="203"/>
      <c r="J48" s="203"/>
      <c r="K48" s="203"/>
      <c r="L48" s="203"/>
      <c r="M48" s="155"/>
    </row>
    <row r="49" spans="1:13" ht="14.5" x14ac:dyDescent="0.65">
      <c r="A49" s="177" t="str">
        <f>CONCATENATE('FFM-Functions-Activities'!B41,": ",'FFM-Functions-Activities'!D41)</f>
        <v>Delinquent Debt Management: Delinquent Debt Reporting</v>
      </c>
      <c r="B49" s="36"/>
      <c r="C49" s="198"/>
      <c r="D49" s="203"/>
      <c r="E49" s="203"/>
      <c r="F49" s="203"/>
      <c r="G49" s="203"/>
      <c r="H49" s="203"/>
      <c r="I49" s="203"/>
      <c r="J49" s="203"/>
      <c r="K49" s="203"/>
      <c r="L49" s="203"/>
      <c r="M49" s="155"/>
    </row>
    <row r="50" spans="1:13" ht="14.5" x14ac:dyDescent="0.65">
      <c r="A50" s="177" t="str">
        <f>CONCATENATE('FFM-Functions-Activities'!B42,": ",'FFM-Functions-Activities'!D42)</f>
        <v>Cost Management: Cost Management Setup and Maintenance</v>
      </c>
      <c r="B50" s="36"/>
      <c r="C50" s="198"/>
      <c r="D50" s="203"/>
      <c r="E50" s="203"/>
      <c r="F50" s="203"/>
      <c r="G50" s="203"/>
      <c r="H50" s="203"/>
      <c r="I50" s="203"/>
      <c r="J50" s="203"/>
      <c r="K50" s="203"/>
      <c r="L50" s="203"/>
      <c r="M50" s="155"/>
    </row>
    <row r="51" spans="1:13" ht="14.5" x14ac:dyDescent="0.65">
      <c r="A51" s="177" t="str">
        <f>CONCATENATE('FFM-Functions-Activities'!B43,": ",'FFM-Functions-Activities'!D43)</f>
        <v>Cost Management: Cost Accumulation and Allocation</v>
      </c>
      <c r="B51" s="36"/>
      <c r="C51" s="198"/>
      <c r="D51" s="203"/>
      <c r="E51" s="203"/>
      <c r="F51" s="203"/>
      <c r="G51" s="203"/>
      <c r="H51" s="203"/>
      <c r="I51" s="203"/>
      <c r="J51" s="203"/>
      <c r="K51" s="203"/>
      <c r="L51" s="203"/>
      <c r="M51" s="155"/>
    </row>
    <row r="52" spans="1:13" ht="14.5" x14ac:dyDescent="0.65">
      <c r="A52" s="177" t="str">
        <f>CONCATENATE('FFM-Functions-Activities'!B44,": ",'FFM-Functions-Activities'!D44)</f>
        <v>Cost Management: Cost Reporting</v>
      </c>
      <c r="B52" s="36"/>
      <c r="C52" s="198"/>
      <c r="D52" s="203"/>
      <c r="E52" s="203"/>
      <c r="F52" s="203"/>
      <c r="G52" s="203"/>
      <c r="H52" s="203"/>
      <c r="I52" s="203"/>
      <c r="J52" s="203"/>
      <c r="K52" s="203"/>
      <c r="L52" s="203"/>
      <c r="M52" s="155"/>
    </row>
    <row r="53" spans="1:13" ht="28.5" x14ac:dyDescent="0.65">
      <c r="A53" s="177" t="str">
        <f>CONCATENATE('FFM-Functions-Activities'!B45,": ",'FFM-Functions-Activities'!D45)</f>
        <v>General Ledger Management: General Ledger Setup and Maintenance</v>
      </c>
      <c r="B53" s="36"/>
      <c r="C53" s="198"/>
      <c r="D53" s="203"/>
      <c r="E53" s="203"/>
      <c r="F53" s="203"/>
      <c r="G53" s="203"/>
      <c r="H53" s="203"/>
      <c r="I53" s="203"/>
      <c r="J53" s="203"/>
      <c r="K53" s="203"/>
      <c r="L53" s="203"/>
      <c r="M53" s="155"/>
    </row>
    <row r="54" spans="1:13" ht="14.5" x14ac:dyDescent="0.65">
      <c r="A54" s="177" t="str">
        <f>CONCATENATE('FFM-Functions-Activities'!B46,": ",'FFM-Functions-Activities'!D46)</f>
        <v>General Ledger Management: General Ledger Posting</v>
      </c>
      <c r="B54" s="36"/>
      <c r="C54" s="198"/>
      <c r="D54" s="203"/>
      <c r="E54" s="203"/>
      <c r="F54" s="203"/>
      <c r="G54" s="203"/>
      <c r="H54" s="203"/>
      <c r="I54" s="203"/>
      <c r="J54" s="203"/>
      <c r="K54" s="203"/>
      <c r="L54" s="203"/>
      <c r="M54" s="155"/>
    </row>
    <row r="55" spans="1:13" ht="28.5" x14ac:dyDescent="0.65">
      <c r="A55" s="177" t="str">
        <f>CONCATENATE('FFM-Functions-Activities'!B47,": ",'FFM-Functions-Activities'!D47)</f>
        <v xml:space="preserve">General Ledger Management: Accrual and Liability/Asset Processing </v>
      </c>
      <c r="B55" s="36"/>
      <c r="C55" s="198"/>
      <c r="D55" s="203"/>
      <c r="E55" s="203"/>
      <c r="F55" s="203"/>
      <c r="G55" s="203"/>
      <c r="H55" s="203"/>
      <c r="I55" s="203"/>
      <c r="J55" s="203"/>
      <c r="K55" s="203"/>
      <c r="L55" s="203"/>
      <c r="M55" s="155"/>
    </row>
    <row r="56" spans="1:13" ht="14.5" x14ac:dyDescent="0.65">
      <c r="A56" s="177" t="str">
        <f>CONCATENATE('FFM-Functions-Activities'!B48,": ",'FFM-Functions-Activities'!D48)</f>
        <v>General Ledger Management: Period End Closing</v>
      </c>
      <c r="B56" s="36"/>
      <c r="C56" s="198"/>
      <c r="D56" s="203"/>
      <c r="E56" s="203"/>
      <c r="F56" s="203"/>
      <c r="G56" s="203"/>
      <c r="H56" s="203"/>
      <c r="I56" s="203"/>
      <c r="J56" s="203"/>
      <c r="K56" s="203"/>
      <c r="L56" s="203"/>
      <c r="M56" s="155"/>
    </row>
    <row r="57" spans="1:13" ht="28.5" x14ac:dyDescent="0.65">
      <c r="A57" s="177" t="str">
        <f>CONCATENATE('FFM-Functions-Activities'!B49,": ",'FFM-Functions-Activities'!D49)</f>
        <v>Financial Reconciliation: Reconciliation of General Ledger and Subledgers</v>
      </c>
      <c r="B57" s="36"/>
      <c r="C57" s="198"/>
      <c r="D57" s="203"/>
      <c r="E57" s="203"/>
      <c r="F57" s="203"/>
      <c r="G57" s="203"/>
      <c r="H57" s="203"/>
      <c r="I57" s="203"/>
      <c r="J57" s="203"/>
      <c r="K57" s="203"/>
      <c r="L57" s="203"/>
      <c r="M57" s="107"/>
    </row>
    <row r="58" spans="1:13" ht="28.5" x14ac:dyDescent="0.65">
      <c r="A58" s="177" t="str">
        <f>CONCATENATE('FFM-Functions-Activities'!B50,": ",'FFM-Functions-Activities'!D50)</f>
        <v>Financial Reconciliation: Reconciliation of Intragovernmental Activity</v>
      </c>
      <c r="B58" s="36"/>
      <c r="C58" s="198"/>
      <c r="D58" s="203"/>
      <c r="E58" s="203"/>
      <c r="F58" s="203"/>
      <c r="G58" s="203"/>
      <c r="H58" s="203"/>
      <c r="I58" s="203"/>
      <c r="J58" s="203"/>
      <c r="K58" s="203"/>
      <c r="L58" s="203"/>
      <c r="M58" s="155"/>
    </row>
    <row r="59" spans="1:13" ht="14.5" x14ac:dyDescent="0.65">
      <c r="A59" s="177" t="str">
        <f>CONCATENATE('FFM-Functions-Activities'!B51,": ",'FFM-Functions-Activities'!D51)</f>
        <v>Financial Reconciliation: Reconciliation with Treasury Balance</v>
      </c>
      <c r="B59" s="36"/>
      <c r="C59" s="198"/>
      <c r="D59" s="203"/>
      <c r="E59" s="203"/>
      <c r="F59" s="203"/>
      <c r="G59" s="203"/>
      <c r="H59" s="203"/>
      <c r="I59" s="203"/>
      <c r="J59" s="203"/>
      <c r="K59" s="203"/>
      <c r="L59" s="203"/>
      <c r="M59" s="155"/>
    </row>
    <row r="60" spans="1:13" ht="14.5" x14ac:dyDescent="0.65">
      <c r="A60" s="177" t="str">
        <f>CONCATENATE('FFM-Functions-Activities'!B52,": ",'FFM-Functions-Activities'!D52)</f>
        <v>Financial / Performance Reporting: Treasury Reporting</v>
      </c>
      <c r="B60" s="36"/>
      <c r="C60" s="198"/>
      <c r="D60" s="203"/>
      <c r="E60" s="203"/>
      <c r="F60" s="203"/>
      <c r="G60" s="203"/>
      <c r="H60" s="203"/>
      <c r="I60" s="203"/>
      <c r="J60" s="203"/>
      <c r="K60" s="203"/>
      <c r="L60" s="203"/>
      <c r="M60" s="155"/>
    </row>
    <row r="61" spans="1:13" ht="28.5" x14ac:dyDescent="0.65">
      <c r="A61" s="177" t="str">
        <f>CONCATENATE('FFM-Functions-Activities'!B53,": ",'FFM-Functions-Activities'!D53)</f>
        <v>Financial / Performance Reporting: Financial Statement Preparation</v>
      </c>
      <c r="B61" s="36"/>
      <c r="C61" s="198"/>
      <c r="D61" s="203"/>
      <c r="E61" s="203"/>
      <c r="F61" s="203"/>
      <c r="G61" s="203"/>
      <c r="H61" s="203"/>
      <c r="I61" s="203"/>
      <c r="J61" s="203"/>
      <c r="K61" s="203"/>
      <c r="L61" s="203"/>
      <c r="M61" s="155"/>
    </row>
    <row r="62" spans="1:13" ht="28.5" x14ac:dyDescent="0.65">
      <c r="A62" s="177" t="str">
        <f>CONCATENATE('FFM-Functions-Activities'!B54,": ",'FFM-Functions-Activities'!D54)</f>
        <v>Financial / Performance Reporting: Cash Forecasting and Reporting</v>
      </c>
      <c r="B62" s="36"/>
      <c r="C62" s="198"/>
      <c r="D62" s="203"/>
      <c r="E62" s="203"/>
      <c r="F62" s="203"/>
      <c r="G62" s="203"/>
      <c r="H62" s="203"/>
      <c r="I62" s="203"/>
      <c r="J62" s="203"/>
      <c r="K62" s="203"/>
      <c r="L62" s="203"/>
      <c r="M62" s="155"/>
    </row>
    <row r="63" spans="1:13" ht="28.5" x14ac:dyDescent="0.65">
      <c r="A63" s="177" t="str">
        <f>CONCATENATE('FFM-Functions-Activities'!B55,": ",'FFM-Functions-Activities'!D55)</f>
        <v>Financial / Performance Reporting: Financial Performance and Operational Reporting</v>
      </c>
      <c r="B63" s="36"/>
      <c r="C63" s="198"/>
      <c r="D63" s="203"/>
      <c r="E63" s="203"/>
      <c r="F63" s="203"/>
      <c r="G63" s="203"/>
      <c r="H63" s="203"/>
      <c r="I63" s="203"/>
      <c r="J63" s="203"/>
      <c r="K63" s="203"/>
      <c r="L63" s="203"/>
      <c r="M63" s="155"/>
    </row>
    <row r="64" spans="1:13" ht="28.5" x14ac:dyDescent="0.65">
      <c r="A64" s="177" t="str">
        <f>CONCATENATE('FFM-Functions-Activities'!B56,": ",'FFM-Functions-Activities'!D56)</f>
        <v xml:space="preserve">Financial / Performance Reporting: Internal Control/Compliance Reviews </v>
      </c>
      <c r="B64" s="36"/>
      <c r="C64" s="198"/>
      <c r="D64" s="203"/>
      <c r="E64" s="203"/>
      <c r="F64" s="203"/>
      <c r="G64" s="203"/>
      <c r="H64" s="203"/>
      <c r="I64" s="203"/>
      <c r="J64" s="203"/>
      <c r="K64" s="203"/>
      <c r="L64" s="203"/>
      <c r="M64" s="155"/>
    </row>
    <row r="65" spans="1:12" ht="14.5" x14ac:dyDescent="0.65">
      <c r="A65" s="126"/>
      <c r="B65" s="36"/>
      <c r="C65" s="198"/>
      <c r="D65" s="198"/>
      <c r="E65" s="198"/>
      <c r="F65" s="198"/>
      <c r="G65" s="198"/>
      <c r="H65" s="198"/>
      <c r="I65" s="198"/>
      <c r="J65" s="198"/>
      <c r="K65" s="198"/>
      <c r="L65" s="198"/>
    </row>
    <row r="66" spans="1:12" s="102" customFormat="1" ht="15.25" x14ac:dyDescent="0.65">
      <c r="A66" s="125" t="s">
        <v>56</v>
      </c>
      <c r="D66" s="210"/>
      <c r="E66" s="210"/>
      <c r="F66" s="210"/>
      <c r="G66" s="210"/>
      <c r="H66" s="210"/>
      <c r="I66" s="210"/>
      <c r="J66" s="210"/>
      <c r="K66" s="210"/>
      <c r="L66" s="210"/>
    </row>
    <row r="67" spans="1:12" ht="14.5" x14ac:dyDescent="0.7">
      <c r="A67" s="37" t="s">
        <v>57</v>
      </c>
      <c r="B67" s="207" t="s">
        <v>58</v>
      </c>
      <c r="C67" s="207"/>
      <c r="D67" s="207"/>
      <c r="E67" s="207"/>
      <c r="F67" s="207"/>
      <c r="G67" s="207"/>
      <c r="H67" s="207" t="s">
        <v>59</v>
      </c>
      <c r="I67" s="207"/>
      <c r="J67" s="207" t="s">
        <v>60</v>
      </c>
      <c r="K67" s="207"/>
      <c r="L67" s="208" t="s">
        <v>61</v>
      </c>
    </row>
    <row r="68" spans="1:12" ht="14.5" x14ac:dyDescent="0.7">
      <c r="A68" s="37" t="s">
        <v>62</v>
      </c>
      <c r="B68" s="200" t="s">
        <v>63</v>
      </c>
      <c r="C68" s="201" t="s">
        <v>64</v>
      </c>
      <c r="D68" s="200" t="s">
        <v>65</v>
      </c>
      <c r="E68" s="200" t="s">
        <v>66</v>
      </c>
      <c r="F68" s="201" t="s">
        <v>67</v>
      </c>
      <c r="G68" s="199" t="s">
        <v>68</v>
      </c>
      <c r="H68" s="199" t="s">
        <v>69</v>
      </c>
      <c r="I68" s="201" t="s">
        <v>70</v>
      </c>
      <c r="J68" s="199" t="s">
        <v>69</v>
      </c>
      <c r="K68" s="201" t="s">
        <v>70</v>
      </c>
      <c r="L68" s="209"/>
    </row>
    <row r="69" spans="1:12" ht="14.5" x14ac:dyDescent="0.7">
      <c r="A69" s="38" t="s">
        <v>21</v>
      </c>
      <c r="B69" s="200"/>
      <c r="C69" s="199"/>
      <c r="D69" s="200"/>
      <c r="E69" s="200"/>
      <c r="F69" s="200"/>
      <c r="G69" s="200"/>
      <c r="H69" s="200"/>
      <c r="I69" s="200"/>
      <c r="J69" s="200"/>
      <c r="K69" s="200"/>
      <c r="L69" s="209"/>
    </row>
    <row r="70" spans="1:12" s="90" customFormat="1" ht="14.5" x14ac:dyDescent="0.7">
      <c r="A70" s="88" t="s">
        <v>71</v>
      </c>
      <c r="B70" s="89"/>
      <c r="C70" s="89"/>
      <c r="D70" s="89"/>
      <c r="E70" s="89"/>
      <c r="F70" s="89"/>
      <c r="G70" s="89"/>
      <c r="H70" s="89"/>
      <c r="I70" s="89"/>
      <c r="J70" s="89"/>
      <c r="K70" s="89"/>
      <c r="L70" s="89"/>
    </row>
    <row r="71" spans="1:12" x14ac:dyDescent="0.65">
      <c r="A71" s="177" t="s">
        <v>72</v>
      </c>
      <c r="B71" s="126"/>
      <c r="C71" s="126"/>
      <c r="D71" s="126"/>
      <c r="E71" s="126"/>
      <c r="F71" s="126"/>
      <c r="G71" s="126"/>
      <c r="H71" s="126"/>
      <c r="I71" s="126"/>
      <c r="J71" s="126"/>
      <c r="K71" s="126"/>
      <c r="L71" s="177"/>
    </row>
    <row r="72" spans="1:12" x14ac:dyDescent="0.65">
      <c r="A72" s="177" t="s">
        <v>73</v>
      </c>
      <c r="B72" s="126"/>
      <c r="C72" s="126"/>
      <c r="D72" s="126"/>
      <c r="E72" s="126"/>
      <c r="F72" s="126"/>
      <c r="G72" s="126"/>
      <c r="H72" s="126"/>
      <c r="I72" s="126"/>
      <c r="J72" s="126"/>
      <c r="K72" s="126"/>
      <c r="L72" s="177"/>
    </row>
    <row r="73" spans="1:12" x14ac:dyDescent="0.65">
      <c r="A73" s="177" t="s">
        <v>74</v>
      </c>
      <c r="B73" s="126"/>
      <c r="C73" s="126"/>
      <c r="D73" s="126"/>
      <c r="E73" s="126"/>
      <c r="F73" s="126"/>
      <c r="G73" s="126"/>
      <c r="H73" s="126"/>
      <c r="I73" s="126"/>
      <c r="J73" s="126"/>
      <c r="K73" s="126"/>
      <c r="L73" s="177"/>
    </row>
    <row r="74" spans="1:12" x14ac:dyDescent="0.65">
      <c r="A74" s="177" t="s">
        <v>75</v>
      </c>
      <c r="B74" s="126"/>
      <c r="C74" s="126"/>
      <c r="D74" s="126"/>
      <c r="E74" s="126"/>
      <c r="F74" s="126"/>
      <c r="G74" s="126"/>
      <c r="H74" s="126"/>
      <c r="I74" s="126"/>
      <c r="J74" s="126"/>
      <c r="K74" s="126"/>
      <c r="L74" s="177"/>
    </row>
    <row r="75" spans="1:12" x14ac:dyDescent="0.65">
      <c r="A75" s="177" t="s">
        <v>76</v>
      </c>
      <c r="B75" s="126"/>
      <c r="C75" s="126"/>
      <c r="D75" s="126"/>
      <c r="E75" s="126"/>
      <c r="F75" s="126"/>
      <c r="G75" s="126"/>
      <c r="H75" s="126"/>
      <c r="I75" s="126"/>
      <c r="J75" s="126"/>
      <c r="K75" s="126"/>
      <c r="L75" s="177"/>
    </row>
    <row r="76" spans="1:12" x14ac:dyDescent="0.65">
      <c r="A76" s="177" t="s">
        <v>77</v>
      </c>
      <c r="B76" s="126"/>
      <c r="C76" s="126"/>
      <c r="D76" s="126"/>
      <c r="E76" s="126"/>
      <c r="F76" s="126"/>
      <c r="G76" s="126"/>
      <c r="H76" s="126"/>
      <c r="I76" s="126"/>
      <c r="J76" s="126"/>
      <c r="K76" s="126"/>
      <c r="L76" s="177"/>
    </row>
    <row r="77" spans="1:12" x14ac:dyDescent="0.65">
      <c r="A77" s="177" t="s">
        <v>78</v>
      </c>
      <c r="B77" s="126"/>
      <c r="C77" s="126"/>
      <c r="D77" s="126"/>
      <c r="E77" s="126"/>
      <c r="F77" s="126"/>
      <c r="G77" s="126"/>
      <c r="H77" s="126"/>
      <c r="I77" s="126"/>
      <c r="J77" s="126"/>
      <c r="K77" s="126"/>
      <c r="L77" s="177"/>
    </row>
    <row r="78" spans="1:12" x14ac:dyDescent="0.65">
      <c r="A78" s="177" t="s">
        <v>79</v>
      </c>
      <c r="B78" s="126"/>
      <c r="C78" s="126"/>
      <c r="D78" s="126"/>
      <c r="E78" s="126"/>
      <c r="F78" s="126"/>
      <c r="G78" s="126"/>
      <c r="H78" s="126"/>
      <c r="I78" s="126"/>
      <c r="J78" s="126"/>
      <c r="K78" s="126"/>
      <c r="L78" s="177"/>
    </row>
    <row r="79" spans="1:12" x14ac:dyDescent="0.65">
      <c r="A79" s="177" t="s">
        <v>80</v>
      </c>
      <c r="B79" s="126"/>
      <c r="C79" s="126"/>
      <c r="D79" s="126"/>
      <c r="E79" s="126"/>
      <c r="F79" s="126"/>
      <c r="G79" s="126"/>
      <c r="H79" s="126"/>
      <c r="I79" s="126"/>
      <c r="J79" s="126"/>
      <c r="K79" s="126"/>
      <c r="L79" s="177"/>
    </row>
    <row r="80" spans="1:12" x14ac:dyDescent="0.65">
      <c r="A80" s="177" t="s">
        <v>81</v>
      </c>
      <c r="B80" s="126"/>
      <c r="C80" s="126"/>
      <c r="D80" s="126"/>
      <c r="E80" s="126"/>
      <c r="F80" s="126"/>
      <c r="G80" s="126"/>
      <c r="H80" s="126"/>
      <c r="I80" s="126"/>
      <c r="J80" s="126"/>
      <c r="K80" s="126"/>
      <c r="L80" s="177"/>
    </row>
    <row r="81" spans="1:12" x14ac:dyDescent="0.65">
      <c r="A81" s="177" t="s">
        <v>82</v>
      </c>
      <c r="B81" s="126"/>
      <c r="C81" s="126"/>
      <c r="D81" s="126"/>
      <c r="E81" s="126"/>
      <c r="F81" s="126"/>
      <c r="G81" s="126"/>
      <c r="H81" s="126"/>
      <c r="I81" s="126"/>
      <c r="J81" s="126"/>
      <c r="K81" s="126"/>
      <c r="L81" s="177"/>
    </row>
    <row r="82" spans="1:12" x14ac:dyDescent="0.65">
      <c r="A82" s="177" t="s">
        <v>83</v>
      </c>
      <c r="B82" s="126"/>
      <c r="C82" s="126"/>
      <c r="D82" s="126"/>
      <c r="E82" s="126"/>
      <c r="F82" s="126"/>
      <c r="G82" s="126"/>
      <c r="H82" s="126"/>
      <c r="I82" s="126"/>
      <c r="J82" s="126"/>
      <c r="K82" s="126"/>
      <c r="L82" s="177"/>
    </row>
    <row r="83" spans="1:12" x14ac:dyDescent="0.65">
      <c r="A83" s="177" t="s">
        <v>84</v>
      </c>
      <c r="B83" s="126"/>
      <c r="C83" s="126"/>
      <c r="D83" s="126"/>
      <c r="E83" s="126"/>
      <c r="F83" s="126"/>
      <c r="G83" s="126"/>
      <c r="H83" s="126"/>
      <c r="I83" s="126"/>
      <c r="J83" s="126"/>
      <c r="K83" s="126"/>
      <c r="L83" s="177"/>
    </row>
    <row r="84" spans="1:12" x14ac:dyDescent="0.65">
      <c r="A84" s="177" t="s">
        <v>85</v>
      </c>
      <c r="B84" s="126"/>
      <c r="C84" s="126"/>
      <c r="D84" s="126"/>
      <c r="E84" s="126"/>
      <c r="F84" s="126"/>
      <c r="G84" s="126"/>
      <c r="H84" s="126"/>
      <c r="I84" s="126"/>
      <c r="J84" s="126"/>
      <c r="K84" s="126"/>
      <c r="L84" s="177"/>
    </row>
    <row r="85" spans="1:12" x14ac:dyDescent="0.65">
      <c r="A85" s="177" t="s">
        <v>86</v>
      </c>
      <c r="B85" s="126"/>
      <c r="C85" s="126"/>
      <c r="D85" s="126"/>
      <c r="E85" s="126"/>
      <c r="F85" s="126"/>
      <c r="G85" s="126"/>
      <c r="H85" s="126"/>
      <c r="I85" s="126"/>
      <c r="J85" s="126"/>
      <c r="K85" s="126"/>
      <c r="L85" s="177"/>
    </row>
    <row r="86" spans="1:12" ht="28.5" x14ac:dyDescent="0.65">
      <c r="A86" s="177" t="s">
        <v>87</v>
      </c>
      <c r="B86" s="126"/>
      <c r="C86" s="126"/>
      <c r="D86" s="126"/>
      <c r="E86" s="126"/>
      <c r="F86" s="126"/>
      <c r="G86" s="126"/>
      <c r="H86" s="126"/>
      <c r="I86" s="126"/>
      <c r="J86" s="126"/>
      <c r="K86" s="126"/>
      <c r="L86" s="177"/>
    </row>
    <row r="87" spans="1:12" x14ac:dyDescent="0.65">
      <c r="A87" s="135" t="s">
        <v>88</v>
      </c>
      <c r="B87" s="126"/>
      <c r="C87" s="126"/>
      <c r="D87" s="126"/>
      <c r="E87" s="126"/>
      <c r="F87" s="126"/>
      <c r="G87" s="126"/>
      <c r="H87" s="126"/>
      <c r="I87" s="126"/>
      <c r="J87" s="126"/>
      <c r="K87" s="126"/>
      <c r="L87" s="177"/>
    </row>
    <row r="88" spans="1:12" ht="28.5" x14ac:dyDescent="0.65">
      <c r="A88" s="135" t="s">
        <v>89</v>
      </c>
      <c r="B88" s="126"/>
      <c r="C88" s="126"/>
      <c r="D88" s="126"/>
      <c r="E88" s="126"/>
      <c r="F88" s="126"/>
      <c r="G88" s="126"/>
      <c r="H88" s="126"/>
      <c r="I88" s="126"/>
      <c r="J88" s="126"/>
      <c r="K88" s="126"/>
      <c r="L88" s="177"/>
    </row>
    <row r="89" spans="1:12" x14ac:dyDescent="0.65">
      <c r="A89" s="135" t="s">
        <v>90</v>
      </c>
      <c r="B89" s="126"/>
      <c r="C89" s="126"/>
      <c r="D89" s="126"/>
      <c r="E89" s="126"/>
      <c r="F89" s="126"/>
      <c r="G89" s="126"/>
      <c r="H89" s="126"/>
      <c r="I89" s="126"/>
      <c r="J89" s="126"/>
      <c r="K89" s="126"/>
      <c r="L89" s="177"/>
    </row>
    <row r="90" spans="1:12" x14ac:dyDescent="0.65">
      <c r="A90" s="135" t="s">
        <v>91</v>
      </c>
      <c r="B90" s="126"/>
      <c r="C90" s="126"/>
      <c r="D90" s="126"/>
      <c r="E90" s="126"/>
      <c r="F90" s="126"/>
      <c r="G90" s="126"/>
      <c r="H90" s="126"/>
      <c r="I90" s="126"/>
      <c r="J90" s="126"/>
      <c r="K90" s="126"/>
      <c r="L90" s="177"/>
    </row>
    <row r="91" spans="1:12" x14ac:dyDescent="0.65">
      <c r="A91" s="135" t="s">
        <v>92</v>
      </c>
      <c r="B91" s="126"/>
      <c r="C91" s="126"/>
      <c r="D91" s="126"/>
      <c r="E91" s="126"/>
      <c r="F91" s="126"/>
      <c r="G91" s="126"/>
      <c r="H91" s="126"/>
      <c r="I91" s="126"/>
      <c r="J91" s="126"/>
      <c r="K91" s="126"/>
      <c r="L91" s="177"/>
    </row>
    <row r="92" spans="1:12" x14ac:dyDescent="0.65">
      <c r="A92" s="135" t="s">
        <v>93</v>
      </c>
      <c r="B92" s="126"/>
      <c r="C92" s="126"/>
      <c r="D92" s="126"/>
      <c r="E92" s="126"/>
      <c r="F92" s="126"/>
      <c r="G92" s="126"/>
      <c r="H92" s="126"/>
      <c r="I92" s="126"/>
      <c r="J92" s="126"/>
      <c r="K92" s="126"/>
      <c r="L92" s="177"/>
    </row>
    <row r="93" spans="1:12" s="90" customFormat="1" ht="14.5" x14ac:dyDescent="0.65">
      <c r="A93" s="136" t="s">
        <v>94</v>
      </c>
      <c r="B93" s="141"/>
      <c r="C93" s="141"/>
      <c r="D93" s="141"/>
      <c r="E93" s="141"/>
      <c r="F93" s="141"/>
      <c r="G93" s="141"/>
      <c r="H93" s="141"/>
      <c r="I93" s="141"/>
      <c r="J93" s="141"/>
      <c r="K93" s="141"/>
      <c r="L93" s="143"/>
    </row>
    <row r="94" spans="1:12" x14ac:dyDescent="0.65">
      <c r="A94" s="177" t="s">
        <v>95</v>
      </c>
      <c r="B94" s="126"/>
      <c r="C94" s="126"/>
      <c r="D94" s="126"/>
      <c r="E94" s="126"/>
      <c r="F94" s="126"/>
      <c r="G94" s="126"/>
      <c r="H94" s="126"/>
      <c r="I94" s="126"/>
      <c r="J94" s="126"/>
      <c r="K94" s="126"/>
      <c r="L94" s="177"/>
    </row>
    <row r="95" spans="1:12" x14ac:dyDescent="0.65">
      <c r="A95" s="177" t="s">
        <v>96</v>
      </c>
      <c r="B95" s="126"/>
      <c r="C95" s="126"/>
      <c r="D95" s="126"/>
      <c r="E95" s="126"/>
      <c r="F95" s="126"/>
      <c r="G95" s="126"/>
      <c r="H95" s="126"/>
      <c r="I95" s="126"/>
      <c r="J95" s="126"/>
      <c r="K95" s="126"/>
      <c r="L95" s="177"/>
    </row>
    <row r="96" spans="1:12" x14ac:dyDescent="0.65">
      <c r="A96" s="177" t="s">
        <v>97</v>
      </c>
      <c r="B96" s="126"/>
      <c r="C96" s="126"/>
      <c r="D96" s="126"/>
      <c r="E96" s="126"/>
      <c r="F96" s="126"/>
      <c r="G96" s="126"/>
      <c r="H96" s="126"/>
      <c r="I96" s="126"/>
      <c r="J96" s="126"/>
      <c r="K96" s="126"/>
      <c r="L96" s="177"/>
    </row>
    <row r="97" spans="1:12" x14ac:dyDescent="0.65">
      <c r="A97" s="177" t="s">
        <v>98</v>
      </c>
      <c r="B97" s="126"/>
      <c r="C97" s="126"/>
      <c r="D97" s="126"/>
      <c r="E97" s="126"/>
      <c r="F97" s="126"/>
      <c r="G97" s="126"/>
      <c r="H97" s="126"/>
      <c r="I97" s="126"/>
      <c r="J97" s="126"/>
      <c r="K97" s="126"/>
      <c r="L97" s="177"/>
    </row>
    <row r="98" spans="1:12" x14ac:dyDescent="0.65">
      <c r="A98" s="177" t="s">
        <v>99</v>
      </c>
      <c r="B98" s="126"/>
      <c r="C98" s="126"/>
      <c r="D98" s="126"/>
      <c r="E98" s="126"/>
      <c r="F98" s="126"/>
      <c r="G98" s="126"/>
      <c r="H98" s="126"/>
      <c r="I98" s="126"/>
      <c r="J98" s="126"/>
      <c r="K98" s="126"/>
      <c r="L98" s="177"/>
    </row>
    <row r="99" spans="1:12" ht="28.5" x14ac:dyDescent="0.65">
      <c r="A99" s="177" t="s">
        <v>100</v>
      </c>
      <c r="B99" s="126"/>
      <c r="C99" s="126"/>
      <c r="D99" s="126"/>
      <c r="E99" s="126"/>
      <c r="F99" s="126"/>
      <c r="G99" s="126"/>
      <c r="H99" s="126"/>
      <c r="I99" s="126"/>
      <c r="J99" s="126"/>
      <c r="K99" s="126"/>
      <c r="L99" s="177"/>
    </row>
    <row r="100" spans="1:12" ht="28.5" x14ac:dyDescent="0.65">
      <c r="A100" s="177" t="s">
        <v>101</v>
      </c>
      <c r="B100" s="126"/>
      <c r="C100" s="126"/>
      <c r="D100" s="126"/>
      <c r="E100" s="126"/>
      <c r="F100" s="126"/>
      <c r="G100" s="126"/>
      <c r="H100" s="126"/>
      <c r="I100" s="126"/>
      <c r="J100" s="126"/>
      <c r="K100" s="126"/>
      <c r="L100" s="177"/>
    </row>
    <row r="101" spans="1:12" x14ac:dyDescent="0.65">
      <c r="A101" s="177" t="s">
        <v>102</v>
      </c>
      <c r="B101" s="126"/>
      <c r="C101" s="126"/>
      <c r="D101" s="126"/>
      <c r="E101" s="126"/>
      <c r="F101" s="126"/>
      <c r="G101" s="126"/>
      <c r="H101" s="126"/>
      <c r="I101" s="126"/>
      <c r="J101" s="126"/>
      <c r="K101" s="126"/>
      <c r="L101" s="177"/>
    </row>
    <row r="102" spans="1:12" x14ac:dyDescent="0.65">
      <c r="A102" s="177" t="s">
        <v>103</v>
      </c>
      <c r="B102" s="126"/>
      <c r="C102" s="126"/>
      <c r="D102" s="126"/>
      <c r="E102" s="126"/>
      <c r="F102" s="126"/>
      <c r="G102" s="126"/>
      <c r="H102" s="126"/>
      <c r="I102" s="126"/>
      <c r="J102" s="126"/>
      <c r="K102" s="126"/>
      <c r="L102" s="177"/>
    </row>
    <row r="103" spans="1:12" x14ac:dyDescent="0.65">
      <c r="A103" s="177" t="s">
        <v>104</v>
      </c>
      <c r="B103" s="126"/>
      <c r="C103" s="126"/>
      <c r="D103" s="126"/>
      <c r="E103" s="126"/>
      <c r="F103" s="126"/>
      <c r="G103" s="126"/>
      <c r="H103" s="126"/>
      <c r="I103" s="126"/>
      <c r="J103" s="126"/>
      <c r="K103" s="126"/>
      <c r="L103" s="177"/>
    </row>
    <row r="104" spans="1:12" s="90" customFormat="1" ht="14.5" x14ac:dyDescent="0.65">
      <c r="A104" s="136" t="s">
        <v>105</v>
      </c>
      <c r="B104" s="141"/>
      <c r="C104" s="141"/>
      <c r="D104" s="141"/>
      <c r="E104" s="141"/>
      <c r="F104" s="141"/>
      <c r="G104" s="141"/>
      <c r="H104" s="141"/>
      <c r="I104" s="141"/>
      <c r="J104" s="141"/>
      <c r="K104" s="141"/>
      <c r="L104" s="143"/>
    </row>
    <row r="105" spans="1:12" x14ac:dyDescent="0.65">
      <c r="A105" s="177" t="s">
        <v>106</v>
      </c>
      <c r="B105" s="126"/>
      <c r="C105" s="126"/>
      <c r="D105" s="126"/>
      <c r="E105" s="126"/>
      <c r="F105" s="126"/>
      <c r="G105" s="126"/>
      <c r="H105" s="126"/>
      <c r="I105" s="126"/>
      <c r="J105" s="126"/>
      <c r="K105" s="126"/>
      <c r="L105" s="177"/>
    </row>
    <row r="106" spans="1:12" x14ac:dyDescent="0.65">
      <c r="A106" s="177" t="s">
        <v>107</v>
      </c>
      <c r="B106" s="126"/>
      <c r="C106" s="126"/>
      <c r="D106" s="126"/>
      <c r="E106" s="126"/>
      <c r="F106" s="126"/>
      <c r="G106" s="126"/>
      <c r="H106" s="126"/>
      <c r="I106" s="126"/>
      <c r="J106" s="126"/>
      <c r="K106" s="126"/>
      <c r="L106" s="177"/>
    </row>
    <row r="107" spans="1:12" x14ac:dyDescent="0.65">
      <c r="A107" s="177" t="s">
        <v>108</v>
      </c>
      <c r="B107" s="126"/>
      <c r="C107" s="126"/>
      <c r="D107" s="126"/>
      <c r="E107" s="126"/>
      <c r="F107" s="126"/>
      <c r="G107" s="126"/>
      <c r="H107" s="126"/>
      <c r="I107" s="126"/>
      <c r="J107" s="126"/>
      <c r="K107" s="126"/>
      <c r="L107" s="177"/>
    </row>
    <row r="108" spans="1:12" x14ac:dyDescent="0.65">
      <c r="A108" s="177" t="s">
        <v>109</v>
      </c>
      <c r="B108" s="126"/>
      <c r="C108" s="126"/>
      <c r="D108" s="126"/>
      <c r="E108" s="126"/>
      <c r="F108" s="126"/>
      <c r="G108" s="126"/>
      <c r="H108" s="126"/>
      <c r="I108" s="126"/>
      <c r="J108" s="126"/>
      <c r="K108" s="126"/>
      <c r="L108" s="177"/>
    </row>
    <row r="109" spans="1:12" x14ac:dyDescent="0.65">
      <c r="A109" s="177" t="s">
        <v>110</v>
      </c>
      <c r="B109" s="126"/>
      <c r="C109" s="126"/>
      <c r="D109" s="126"/>
      <c r="E109" s="126"/>
      <c r="F109" s="126"/>
      <c r="G109" s="126"/>
      <c r="H109" s="126"/>
      <c r="I109" s="126"/>
      <c r="J109" s="126"/>
      <c r="K109" s="126"/>
      <c r="L109" s="177"/>
    </row>
    <row r="110" spans="1:12" x14ac:dyDescent="0.65">
      <c r="A110" s="177" t="s">
        <v>111</v>
      </c>
      <c r="B110" s="126"/>
      <c r="C110" s="126"/>
      <c r="D110" s="126"/>
      <c r="E110" s="126"/>
      <c r="F110" s="126"/>
      <c r="G110" s="126"/>
      <c r="H110" s="126"/>
      <c r="I110" s="126"/>
      <c r="J110" s="126"/>
      <c r="K110" s="126"/>
      <c r="L110" s="177"/>
    </row>
    <row r="111" spans="1:12" x14ac:dyDescent="0.65">
      <c r="A111" s="137" t="s">
        <v>112</v>
      </c>
      <c r="B111" s="134"/>
      <c r="C111" s="134"/>
      <c r="D111" s="137"/>
      <c r="E111" s="126"/>
      <c r="F111" s="126"/>
      <c r="G111" s="126"/>
      <c r="H111" s="126"/>
      <c r="I111" s="126"/>
      <c r="J111" s="126"/>
      <c r="K111" s="126"/>
      <c r="L111" s="177"/>
    </row>
    <row r="112" spans="1:12" x14ac:dyDescent="0.65">
      <c r="A112" s="137" t="s">
        <v>113</v>
      </c>
      <c r="B112" s="134"/>
      <c r="C112" s="134"/>
      <c r="D112" s="137"/>
      <c r="E112" s="126"/>
      <c r="F112" s="126"/>
      <c r="G112" s="126"/>
      <c r="H112" s="126"/>
      <c r="I112" s="126"/>
      <c r="J112" s="126"/>
      <c r="K112" s="126"/>
      <c r="L112" s="177"/>
    </row>
    <row r="113" spans="1:12" x14ac:dyDescent="0.65">
      <c r="A113" s="137" t="s">
        <v>114</v>
      </c>
      <c r="B113" s="134"/>
      <c r="C113" s="134"/>
      <c r="D113" s="137"/>
      <c r="E113" s="126"/>
      <c r="F113" s="126"/>
      <c r="G113" s="126"/>
      <c r="H113" s="126"/>
      <c r="I113" s="126"/>
      <c r="J113" s="126"/>
      <c r="K113" s="126"/>
      <c r="L113" s="177"/>
    </row>
    <row r="114" spans="1:12" x14ac:dyDescent="0.65">
      <c r="A114" s="137" t="s">
        <v>115</v>
      </c>
      <c r="B114" s="134"/>
      <c r="C114" s="134"/>
      <c r="D114" s="137"/>
      <c r="E114" s="126"/>
      <c r="F114" s="126"/>
      <c r="G114" s="126"/>
      <c r="H114" s="126"/>
      <c r="I114" s="126"/>
      <c r="J114" s="126"/>
      <c r="K114" s="126"/>
      <c r="L114" s="177"/>
    </row>
    <row r="115" spans="1:12" x14ac:dyDescent="0.65">
      <c r="A115" s="137" t="s">
        <v>116</v>
      </c>
      <c r="B115" s="134"/>
      <c r="C115" s="134"/>
      <c r="D115" s="137"/>
      <c r="E115" s="126"/>
      <c r="F115" s="126"/>
      <c r="G115" s="126"/>
      <c r="H115" s="126"/>
      <c r="I115" s="126"/>
      <c r="J115" s="126"/>
      <c r="K115" s="126"/>
      <c r="L115" s="177"/>
    </row>
    <row r="116" spans="1:12" x14ac:dyDescent="0.65">
      <c r="A116" s="118" t="s">
        <v>117</v>
      </c>
      <c r="B116" s="134"/>
      <c r="C116" s="134"/>
      <c r="D116" s="137"/>
      <c r="E116" s="126"/>
      <c r="F116" s="126"/>
      <c r="G116" s="126"/>
      <c r="H116" s="126"/>
      <c r="I116" s="126"/>
      <c r="J116" s="126"/>
      <c r="K116" s="126"/>
      <c r="L116" s="177"/>
    </row>
    <row r="117" spans="1:12" x14ac:dyDescent="0.65">
      <c r="A117" s="118" t="s">
        <v>118</v>
      </c>
      <c r="B117" s="134"/>
      <c r="C117" s="134"/>
      <c r="D117" s="137"/>
      <c r="E117" s="126"/>
      <c r="F117" s="126"/>
      <c r="G117" s="126"/>
      <c r="H117" s="126"/>
      <c r="I117" s="126"/>
      <c r="J117" s="126"/>
      <c r="K117" s="126"/>
      <c r="L117" s="177"/>
    </row>
    <row r="118" spans="1:12" x14ac:dyDescent="0.65">
      <c r="A118" s="118" t="s">
        <v>119</v>
      </c>
      <c r="B118" s="134"/>
      <c r="C118" s="134"/>
      <c r="D118" s="137"/>
      <c r="E118" s="126"/>
      <c r="F118" s="126"/>
      <c r="G118" s="126"/>
      <c r="H118" s="126"/>
      <c r="I118" s="126"/>
      <c r="J118" s="126"/>
      <c r="K118" s="126"/>
      <c r="L118" s="177"/>
    </row>
    <row r="119" spans="1:12" x14ac:dyDescent="0.65">
      <c r="A119" s="138" t="s">
        <v>120</v>
      </c>
      <c r="B119" s="144"/>
      <c r="C119" s="144"/>
      <c r="D119" s="145"/>
      <c r="E119" s="126"/>
      <c r="F119" s="126"/>
      <c r="G119" s="126"/>
      <c r="H119" s="126"/>
      <c r="I119" s="126"/>
      <c r="J119" s="126"/>
      <c r="K119" s="126"/>
      <c r="L119" s="177"/>
    </row>
    <row r="120" spans="1:12" s="90" customFormat="1" ht="14.5" x14ac:dyDescent="0.65">
      <c r="A120" s="139" t="s">
        <v>121</v>
      </c>
      <c r="B120" s="141"/>
      <c r="C120" s="141"/>
      <c r="D120" s="141"/>
      <c r="E120" s="141"/>
      <c r="F120" s="141"/>
      <c r="G120" s="141"/>
      <c r="H120" s="141"/>
      <c r="I120" s="141"/>
      <c r="J120" s="141"/>
      <c r="K120" s="141"/>
      <c r="L120" s="143"/>
    </row>
    <row r="121" spans="1:12" s="40" customFormat="1" x14ac:dyDescent="0.75">
      <c r="A121" s="137" t="s">
        <v>122</v>
      </c>
      <c r="B121" s="134"/>
      <c r="C121" s="134"/>
      <c r="D121" s="134"/>
      <c r="E121" s="134"/>
      <c r="F121" s="134"/>
      <c r="G121" s="134"/>
      <c r="H121" s="134"/>
      <c r="I121" s="134"/>
      <c r="J121" s="134"/>
      <c r="K121" s="134"/>
      <c r="L121" s="137"/>
    </row>
    <row r="122" spans="1:12" s="42" customFormat="1" x14ac:dyDescent="0.65">
      <c r="A122" s="137" t="s">
        <v>123</v>
      </c>
      <c r="B122" s="134"/>
      <c r="C122" s="134"/>
      <c r="D122" s="137"/>
      <c r="E122" s="142"/>
      <c r="F122" s="142"/>
      <c r="G122" s="142"/>
      <c r="H122" s="142"/>
      <c r="I122" s="142"/>
      <c r="J122" s="142"/>
      <c r="K122" s="142"/>
      <c r="L122" s="82"/>
    </row>
    <row r="123" spans="1:12" s="42" customFormat="1" x14ac:dyDescent="0.65">
      <c r="A123" s="137" t="s">
        <v>124</v>
      </c>
      <c r="B123" s="134"/>
      <c r="C123" s="134"/>
      <c r="D123" s="137"/>
      <c r="E123" s="142"/>
      <c r="F123" s="142"/>
      <c r="G123" s="142"/>
      <c r="H123" s="142"/>
      <c r="I123" s="142"/>
      <c r="J123" s="142"/>
      <c r="K123" s="142"/>
      <c r="L123" s="82"/>
    </row>
    <row r="124" spans="1:12" s="42" customFormat="1" x14ac:dyDescent="0.65">
      <c r="A124" s="137" t="s">
        <v>125</v>
      </c>
      <c r="B124" s="134"/>
      <c r="C124" s="134"/>
      <c r="D124" s="137"/>
      <c r="E124" s="142"/>
      <c r="F124" s="142"/>
      <c r="G124" s="142"/>
      <c r="H124" s="142"/>
      <c r="I124" s="142"/>
      <c r="J124" s="142"/>
      <c r="K124" s="142"/>
      <c r="L124" s="82"/>
    </row>
    <row r="125" spans="1:12" s="42" customFormat="1" x14ac:dyDescent="0.65">
      <c r="A125" s="118" t="s">
        <v>126</v>
      </c>
      <c r="B125" s="134"/>
      <c r="C125" s="134"/>
      <c r="D125" s="137"/>
      <c r="E125" s="142"/>
      <c r="F125" s="142"/>
      <c r="G125" s="142"/>
      <c r="H125" s="142"/>
      <c r="I125" s="142"/>
      <c r="J125" s="142"/>
      <c r="K125" s="142"/>
      <c r="L125" s="82"/>
    </row>
    <row r="126" spans="1:12" s="42" customFormat="1" x14ac:dyDescent="0.65">
      <c r="A126" s="137" t="s">
        <v>127</v>
      </c>
      <c r="B126" s="134"/>
      <c r="C126" s="134"/>
      <c r="D126" s="137"/>
      <c r="E126" s="142"/>
      <c r="F126" s="142"/>
      <c r="G126" s="142"/>
      <c r="H126" s="142"/>
      <c r="I126" s="142"/>
      <c r="J126" s="142"/>
      <c r="K126" s="142"/>
      <c r="L126" s="82"/>
    </row>
    <row r="127" spans="1:12" s="42" customFormat="1" x14ac:dyDescent="0.65">
      <c r="A127" s="137" t="s">
        <v>128</v>
      </c>
      <c r="B127" s="134"/>
      <c r="C127" s="134"/>
      <c r="D127" s="137"/>
      <c r="E127" s="142"/>
      <c r="F127" s="142"/>
      <c r="G127" s="142"/>
      <c r="H127" s="142"/>
      <c r="I127" s="142"/>
      <c r="J127" s="142"/>
      <c r="K127" s="142"/>
      <c r="L127" s="82"/>
    </row>
    <row r="128" spans="1:12" s="90" customFormat="1" ht="14.5" x14ac:dyDescent="0.65">
      <c r="A128" s="140" t="s">
        <v>129</v>
      </c>
      <c r="B128" s="146"/>
      <c r="C128" s="146"/>
      <c r="D128" s="147"/>
      <c r="E128" s="141"/>
      <c r="F128" s="141"/>
      <c r="G128" s="141"/>
      <c r="H128" s="141"/>
      <c r="I128" s="141"/>
      <c r="J128" s="141"/>
      <c r="K128" s="141"/>
      <c r="L128" s="143"/>
    </row>
    <row r="129" spans="1:12" x14ac:dyDescent="0.65">
      <c r="A129" s="137" t="s">
        <v>130</v>
      </c>
      <c r="B129" s="134"/>
      <c r="C129" s="134"/>
      <c r="D129" s="137"/>
      <c r="E129" s="126"/>
      <c r="F129" s="126"/>
      <c r="G129" s="126"/>
      <c r="H129" s="126"/>
      <c r="I129" s="126"/>
      <c r="J129" s="126"/>
      <c r="K129" s="126"/>
      <c r="L129" s="177"/>
    </row>
    <row r="130" spans="1:12" s="42" customFormat="1" x14ac:dyDescent="0.65">
      <c r="A130" s="137" t="s">
        <v>131</v>
      </c>
      <c r="B130" s="134"/>
      <c r="C130" s="134"/>
      <c r="D130" s="137"/>
      <c r="E130" s="142"/>
      <c r="F130" s="142"/>
      <c r="G130" s="142"/>
      <c r="H130" s="142"/>
      <c r="I130" s="142"/>
      <c r="J130" s="142"/>
      <c r="K130" s="142"/>
      <c r="L130" s="82"/>
    </row>
    <row r="131" spans="1:12" s="42" customFormat="1" x14ac:dyDescent="0.65">
      <c r="A131" s="137" t="s">
        <v>132</v>
      </c>
      <c r="B131" s="134"/>
      <c r="C131" s="134"/>
      <c r="D131" s="137"/>
      <c r="E131" s="142"/>
      <c r="F131" s="142"/>
      <c r="G131" s="142"/>
      <c r="H131" s="142"/>
      <c r="I131" s="142"/>
      <c r="J131" s="142"/>
      <c r="K131" s="142"/>
      <c r="L131" s="82"/>
    </row>
    <row r="132" spans="1:12" s="39" customFormat="1" x14ac:dyDescent="0.75">
      <c r="A132" s="137" t="s">
        <v>133</v>
      </c>
      <c r="B132" s="134"/>
      <c r="C132" s="134"/>
      <c r="D132" s="134"/>
      <c r="E132" s="133"/>
      <c r="F132" s="133"/>
      <c r="G132" s="133"/>
      <c r="H132" s="133"/>
      <c r="I132" s="133"/>
      <c r="J132" s="133"/>
      <c r="K132" s="133"/>
      <c r="L132" s="135"/>
    </row>
    <row r="133" spans="1:12" s="39" customFormat="1" x14ac:dyDescent="0.75">
      <c r="A133" s="137" t="s">
        <v>134</v>
      </c>
      <c r="B133" s="134"/>
      <c r="C133" s="134"/>
      <c r="D133" s="134"/>
      <c r="E133" s="133"/>
      <c r="F133" s="133"/>
      <c r="G133" s="133"/>
      <c r="H133" s="133"/>
      <c r="I133" s="133"/>
      <c r="J133" s="133"/>
      <c r="K133" s="133"/>
      <c r="L133" s="135"/>
    </row>
    <row r="134" spans="1:12" s="90" customFormat="1" ht="14.5" x14ac:dyDescent="0.65">
      <c r="A134" s="140" t="s">
        <v>135</v>
      </c>
      <c r="B134" s="146"/>
      <c r="C134" s="146"/>
      <c r="D134" s="147"/>
      <c r="E134" s="141"/>
      <c r="F134" s="141"/>
      <c r="G134" s="141"/>
      <c r="H134" s="141"/>
      <c r="I134" s="141"/>
      <c r="J134" s="141"/>
      <c r="K134" s="141"/>
      <c r="L134" s="143"/>
    </row>
    <row r="135" spans="1:12" x14ac:dyDescent="0.65">
      <c r="A135" s="137" t="s">
        <v>136</v>
      </c>
      <c r="B135" s="148"/>
      <c r="C135" s="148"/>
      <c r="D135" s="148"/>
      <c r="E135" s="126"/>
      <c r="F135" s="126"/>
      <c r="G135" s="126"/>
      <c r="H135" s="126"/>
      <c r="I135" s="126"/>
      <c r="J135" s="126"/>
      <c r="K135" s="126"/>
      <c r="L135" s="177"/>
    </row>
    <row r="136" spans="1:12" s="42" customFormat="1" x14ac:dyDescent="0.65">
      <c r="A136" s="137" t="s">
        <v>137</v>
      </c>
      <c r="B136" s="134"/>
      <c r="C136" s="134"/>
      <c r="D136" s="137"/>
      <c r="E136" s="142"/>
      <c r="F136" s="142"/>
      <c r="G136" s="142"/>
      <c r="H136" s="142"/>
      <c r="I136" s="142"/>
      <c r="J136" s="142"/>
      <c r="K136" s="142"/>
      <c r="L136" s="82"/>
    </row>
    <row r="137" spans="1:12" s="42" customFormat="1" x14ac:dyDescent="0.65">
      <c r="A137" s="137" t="s">
        <v>138</v>
      </c>
      <c r="B137" s="134"/>
      <c r="C137" s="134"/>
      <c r="D137" s="137"/>
      <c r="E137" s="142"/>
      <c r="F137" s="142"/>
      <c r="G137" s="142"/>
      <c r="H137" s="142"/>
      <c r="I137" s="142"/>
      <c r="J137" s="142"/>
      <c r="K137" s="142"/>
      <c r="L137" s="82"/>
    </row>
    <row r="138" spans="1:12" s="42" customFormat="1" x14ac:dyDescent="0.65">
      <c r="A138" s="137" t="s">
        <v>139</v>
      </c>
      <c r="B138" s="134"/>
      <c r="C138" s="134"/>
      <c r="D138" s="134"/>
      <c r="E138" s="142"/>
      <c r="F138" s="142"/>
      <c r="G138" s="142"/>
      <c r="H138" s="142"/>
      <c r="I138" s="142"/>
      <c r="J138" s="142"/>
      <c r="K138" s="142"/>
      <c r="L138" s="82"/>
    </row>
    <row r="139" spans="1:12" s="90" customFormat="1" ht="14.5" x14ac:dyDescent="0.65">
      <c r="A139" s="140" t="s">
        <v>140</v>
      </c>
      <c r="B139" s="146"/>
      <c r="C139" s="146"/>
      <c r="D139" s="146"/>
      <c r="E139" s="141"/>
      <c r="F139" s="141"/>
      <c r="G139" s="141"/>
      <c r="H139" s="141"/>
      <c r="I139" s="141"/>
      <c r="J139" s="141"/>
      <c r="K139" s="141"/>
      <c r="L139" s="143"/>
    </row>
    <row r="140" spans="1:12" s="42" customFormat="1" ht="28.5" x14ac:dyDescent="0.65">
      <c r="A140" s="137" t="s">
        <v>141</v>
      </c>
      <c r="B140" s="134"/>
      <c r="C140" s="134"/>
      <c r="D140" s="134"/>
      <c r="E140" s="142"/>
      <c r="F140" s="142"/>
      <c r="G140" s="142"/>
      <c r="H140" s="142"/>
      <c r="I140" s="142"/>
      <c r="J140" s="142"/>
      <c r="K140" s="142"/>
      <c r="L140" s="82"/>
    </row>
    <row r="141" spans="1:12" s="90" customFormat="1" ht="14.5" x14ac:dyDescent="0.65">
      <c r="A141" s="140" t="s">
        <v>142</v>
      </c>
      <c r="B141" s="146"/>
      <c r="C141" s="146"/>
      <c r="D141" s="147"/>
      <c r="E141" s="141"/>
      <c r="F141" s="141"/>
      <c r="G141" s="141"/>
      <c r="H141" s="141"/>
      <c r="I141" s="141"/>
      <c r="J141" s="141"/>
      <c r="K141" s="141"/>
      <c r="L141" s="143"/>
    </row>
    <row r="142" spans="1:12" s="42" customFormat="1" x14ac:dyDescent="0.65">
      <c r="A142" s="118" t="s">
        <v>143</v>
      </c>
      <c r="B142" s="134"/>
      <c r="C142" s="134"/>
      <c r="D142" s="134"/>
      <c r="E142" s="142"/>
      <c r="F142" s="142"/>
      <c r="G142" s="142"/>
      <c r="H142" s="142"/>
      <c r="I142" s="142"/>
      <c r="J142" s="142"/>
      <c r="K142" s="142"/>
      <c r="L142" s="82"/>
    </row>
    <row r="143" spans="1:12" s="42" customFormat="1" x14ac:dyDescent="0.65">
      <c r="A143" s="118" t="s">
        <v>144</v>
      </c>
      <c r="B143" s="134"/>
      <c r="C143" s="134"/>
      <c r="D143" s="134"/>
      <c r="E143" s="142"/>
      <c r="F143" s="142"/>
      <c r="G143" s="142"/>
      <c r="H143" s="142"/>
      <c r="I143" s="142"/>
      <c r="J143" s="142"/>
      <c r="K143" s="142"/>
      <c r="L143" s="82"/>
    </row>
    <row r="144" spans="1:12" x14ac:dyDescent="0.65">
      <c r="A144" s="137" t="s">
        <v>145</v>
      </c>
      <c r="B144" s="148"/>
      <c r="C144" s="148"/>
      <c r="D144" s="148"/>
      <c r="E144" s="126"/>
      <c r="F144" s="126"/>
      <c r="G144" s="126"/>
      <c r="H144" s="126"/>
      <c r="I144" s="126"/>
      <c r="J144" s="126"/>
      <c r="K144" s="126"/>
      <c r="L144" s="177"/>
    </row>
    <row r="145" spans="1:12" x14ac:dyDescent="0.65">
      <c r="A145" s="137" t="s">
        <v>146</v>
      </c>
      <c r="B145" s="148"/>
      <c r="C145" s="148"/>
      <c r="D145" s="148"/>
      <c r="E145" s="126"/>
      <c r="F145" s="126"/>
      <c r="G145" s="126"/>
      <c r="H145" s="126"/>
      <c r="I145" s="126"/>
      <c r="J145" s="126"/>
      <c r="K145" s="126"/>
      <c r="L145" s="177"/>
    </row>
    <row r="146" spans="1:12" x14ac:dyDescent="0.65">
      <c r="A146" s="43"/>
      <c r="B146" s="43"/>
      <c r="C146" s="43"/>
      <c r="D146" s="43"/>
      <c r="E146" s="155"/>
      <c r="F146" s="155"/>
      <c r="G146" s="155"/>
      <c r="H146" s="155"/>
      <c r="I146" s="155"/>
      <c r="J146" s="155"/>
      <c r="K146" s="155"/>
      <c r="L146" s="155"/>
    </row>
    <row r="147" spans="1:12" x14ac:dyDescent="0.65">
      <c r="A147" s="44"/>
      <c r="B147" s="43"/>
      <c r="C147" s="43"/>
      <c r="D147" s="43"/>
      <c r="E147" s="155"/>
      <c r="F147" s="155"/>
      <c r="G147" s="155"/>
      <c r="H147" s="155"/>
      <c r="I147" s="155"/>
      <c r="J147" s="155"/>
      <c r="K147" s="155"/>
      <c r="L147" s="155"/>
    </row>
    <row r="148" spans="1:12" x14ac:dyDescent="0.65">
      <c r="A148" s="44"/>
      <c r="B148" s="43"/>
      <c r="C148" s="43"/>
      <c r="D148" s="43"/>
      <c r="E148" s="155"/>
      <c r="F148" s="155"/>
      <c r="G148" s="155"/>
      <c r="H148" s="155"/>
      <c r="I148" s="155"/>
      <c r="J148" s="155"/>
      <c r="K148" s="155"/>
      <c r="L148" s="155"/>
    </row>
    <row r="149" spans="1:12" x14ac:dyDescent="0.65">
      <c r="A149" s="44"/>
      <c r="B149" s="43"/>
      <c r="C149" s="43"/>
      <c r="D149" s="43"/>
      <c r="E149" s="155"/>
      <c r="F149" s="155"/>
      <c r="G149" s="155"/>
      <c r="H149" s="155"/>
      <c r="I149" s="155"/>
      <c r="J149" s="155"/>
      <c r="K149" s="155"/>
      <c r="L149" s="155"/>
    </row>
    <row r="150" spans="1:12" x14ac:dyDescent="0.65">
      <c r="A150" s="43"/>
      <c r="B150" s="43"/>
      <c r="C150" s="43"/>
      <c r="D150" s="43"/>
      <c r="E150" s="155"/>
      <c r="F150" s="155"/>
      <c r="G150" s="155"/>
      <c r="H150" s="155"/>
      <c r="I150" s="155"/>
      <c r="J150" s="155"/>
      <c r="K150" s="155"/>
      <c r="L150" s="155"/>
    </row>
    <row r="151" spans="1:12" x14ac:dyDescent="0.65">
      <c r="A151" s="43"/>
      <c r="B151" s="43"/>
      <c r="C151" s="43"/>
      <c r="D151" s="43"/>
      <c r="E151" s="155"/>
      <c r="F151" s="155"/>
      <c r="G151" s="155"/>
      <c r="H151" s="155"/>
      <c r="I151" s="155"/>
      <c r="J151" s="155"/>
      <c r="K151" s="155"/>
      <c r="L151" s="155"/>
    </row>
    <row r="152" spans="1:12" x14ac:dyDescent="0.65">
      <c r="A152" s="43"/>
      <c r="B152" s="43"/>
      <c r="C152" s="43"/>
      <c r="D152" s="43"/>
      <c r="E152" s="155"/>
      <c r="F152" s="155"/>
      <c r="G152" s="155"/>
      <c r="H152" s="155"/>
      <c r="I152" s="155"/>
      <c r="J152" s="155"/>
      <c r="K152" s="155"/>
      <c r="L152" s="155"/>
    </row>
    <row r="153" spans="1:12" x14ac:dyDescent="0.65">
      <c r="A153" s="43"/>
      <c r="B153" s="43"/>
      <c r="C153" s="43"/>
      <c r="D153" s="43"/>
      <c r="E153" s="155"/>
      <c r="F153" s="155"/>
      <c r="G153" s="155"/>
      <c r="H153" s="155"/>
      <c r="I153" s="155"/>
      <c r="J153" s="155"/>
      <c r="K153" s="155"/>
      <c r="L153" s="155"/>
    </row>
  </sheetData>
  <mergeCells count="91">
    <mergeCell ref="C51:L51"/>
    <mergeCell ref="F68:F69"/>
    <mergeCell ref="H67:I67"/>
    <mergeCell ref="J67:K67"/>
    <mergeCell ref="I68:I69"/>
    <mergeCell ref="C68:C69"/>
    <mergeCell ref="J68:J69"/>
    <mergeCell ref="C52:L52"/>
    <mergeCell ref="C53:L53"/>
    <mergeCell ref="L67:L69"/>
    <mergeCell ref="D66:L66"/>
    <mergeCell ref="B67:G67"/>
    <mergeCell ref="B68:B69"/>
    <mergeCell ref="D68:D69"/>
    <mergeCell ref="E68:E69"/>
    <mergeCell ref="G68:G69"/>
    <mergeCell ref="C24:L24"/>
    <mergeCell ref="C25:L25"/>
    <mergeCell ref="C26:L26"/>
    <mergeCell ref="C27:L27"/>
    <mergeCell ref="C28:L28"/>
    <mergeCell ref="C29:L29"/>
    <mergeCell ref="C30:L30"/>
    <mergeCell ref="C31:L31"/>
    <mergeCell ref="C32:L32"/>
    <mergeCell ref="C33:L33"/>
    <mergeCell ref="C34:L34"/>
    <mergeCell ref="C35:L35"/>
    <mergeCell ref="C36:L36"/>
    <mergeCell ref="C37:L37"/>
    <mergeCell ref="C64:L64"/>
    <mergeCell ref="C57:L57"/>
    <mergeCell ref="C55:L55"/>
    <mergeCell ref="C54:L54"/>
    <mergeCell ref="C46:L46"/>
    <mergeCell ref="C47:L47"/>
    <mergeCell ref="C48:L48"/>
    <mergeCell ref="C49:L49"/>
    <mergeCell ref="C50:L50"/>
    <mergeCell ref="C41:L41"/>
    <mergeCell ref="C42:L42"/>
    <mergeCell ref="C43:L43"/>
    <mergeCell ref="C14:L14"/>
    <mergeCell ref="C15:L15"/>
    <mergeCell ref="C16:L16"/>
    <mergeCell ref="C17:L17"/>
    <mergeCell ref="C18:L18"/>
    <mergeCell ref="C19:L19"/>
    <mergeCell ref="C20:L20"/>
    <mergeCell ref="C21:L21"/>
    <mergeCell ref="C22:L22"/>
    <mergeCell ref="C23:L23"/>
    <mergeCell ref="C44:L44"/>
    <mergeCell ref="C40:L40"/>
    <mergeCell ref="C39:L39"/>
    <mergeCell ref="B1:L1"/>
    <mergeCell ref="B2:L2"/>
    <mergeCell ref="B8:L8"/>
    <mergeCell ref="B3:C3"/>
    <mergeCell ref="D3:E3"/>
    <mergeCell ref="F3:G3"/>
    <mergeCell ref="H3:I3"/>
    <mergeCell ref="J3:K3"/>
    <mergeCell ref="B5:C5"/>
    <mergeCell ref="D5:E5"/>
    <mergeCell ref="F5:G5"/>
    <mergeCell ref="H5:I5"/>
    <mergeCell ref="J5:K5"/>
    <mergeCell ref="H68:H69"/>
    <mergeCell ref="K68:K69"/>
    <mergeCell ref="C10:L10"/>
    <mergeCell ref="C11:L11"/>
    <mergeCell ref="C65:L65"/>
    <mergeCell ref="C63:L63"/>
    <mergeCell ref="C62:L62"/>
    <mergeCell ref="C61:L61"/>
    <mergeCell ref="C60:L60"/>
    <mergeCell ref="C59:L59"/>
    <mergeCell ref="C58:L58"/>
    <mergeCell ref="C13:L13"/>
    <mergeCell ref="C38:L38"/>
    <mergeCell ref="C56:L56"/>
    <mergeCell ref="C45:L45"/>
    <mergeCell ref="C12:L12"/>
    <mergeCell ref="B6:L6"/>
    <mergeCell ref="B7:L7"/>
    <mergeCell ref="B4:C4"/>
    <mergeCell ref="D4:E4"/>
    <mergeCell ref="F4:G4"/>
    <mergeCell ref="H4:I4"/>
    <mergeCell ref="J4:K4"/>
  </mergeCells>
  <pageMargins left="0.7" right="0.7" top="0.75" bottom="0.75" header="0.3" footer="0.3"/>
  <pageSetup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BEFC4-2934-49C9-96F0-CA08E691B183}">
  <dimension ref="A1:M153"/>
  <sheetViews>
    <sheetView zoomScale="80" zoomScaleNormal="80" workbookViewId="0">
      <selection activeCell="B6" sqref="B6:L6"/>
    </sheetView>
  </sheetViews>
  <sheetFormatPr defaultColWidth="8.7265625" defaultRowHeight="14.25" x14ac:dyDescent="0.65"/>
  <cols>
    <col min="1" max="1" width="60.7265625" style="101" customWidth="1"/>
    <col min="2" max="11" width="9.1328125" style="101" customWidth="1"/>
    <col min="12" max="12" width="41.1328125" style="101" customWidth="1"/>
    <col min="13" max="13" width="35" style="101" customWidth="1"/>
    <col min="14" max="16384" width="8.7265625" style="101"/>
  </cols>
  <sheetData>
    <row r="1" spans="1:13" ht="14.75" x14ac:dyDescent="0.75">
      <c r="A1" s="127"/>
      <c r="B1" s="204" t="s">
        <v>0</v>
      </c>
      <c r="C1" s="211"/>
      <c r="D1" s="211"/>
      <c r="E1" s="211"/>
      <c r="F1" s="211"/>
      <c r="G1" s="211"/>
      <c r="H1" s="211"/>
      <c r="I1" s="211"/>
      <c r="J1" s="211"/>
      <c r="K1" s="211"/>
      <c r="L1" s="211"/>
      <c r="M1" s="155"/>
    </row>
    <row r="2" spans="1:13" ht="102" customHeight="1" x14ac:dyDescent="0.7">
      <c r="A2" s="127"/>
      <c r="B2" s="206" t="s">
        <v>3</v>
      </c>
      <c r="C2" s="206"/>
      <c r="D2" s="206"/>
      <c r="E2" s="206"/>
      <c r="F2" s="206"/>
      <c r="G2" s="206"/>
      <c r="H2" s="206"/>
      <c r="I2" s="206"/>
      <c r="J2" s="206"/>
      <c r="K2" s="206"/>
      <c r="L2" s="206"/>
      <c r="M2" s="155"/>
    </row>
    <row r="3" spans="1:13" ht="14.75" x14ac:dyDescent="0.75">
      <c r="A3" s="128" t="s">
        <v>147</v>
      </c>
      <c r="B3" s="191"/>
      <c r="C3" s="191"/>
      <c r="D3" s="191"/>
      <c r="E3" s="191"/>
      <c r="F3" s="191"/>
      <c r="G3" s="191"/>
      <c r="H3" s="191"/>
      <c r="I3" s="191"/>
      <c r="J3" s="191"/>
      <c r="K3" s="191"/>
      <c r="L3" s="175"/>
      <c r="M3" s="155"/>
    </row>
    <row r="4" spans="1:13" ht="14.75" x14ac:dyDescent="0.75">
      <c r="A4" s="128" t="str">
        <f>'Cover Page'!A16</f>
        <v>As of: May 26, 2021</v>
      </c>
      <c r="B4" s="191"/>
      <c r="C4" s="191"/>
      <c r="D4" s="191"/>
      <c r="E4" s="191"/>
      <c r="F4" s="191"/>
      <c r="G4" s="191"/>
      <c r="H4" s="191"/>
      <c r="I4" s="191"/>
      <c r="J4" s="191"/>
      <c r="K4" s="191"/>
      <c r="L4" s="175"/>
      <c r="M4" s="155"/>
    </row>
    <row r="5" spans="1:13" ht="14.75" x14ac:dyDescent="0.75">
      <c r="A5" s="128"/>
      <c r="B5" s="191"/>
      <c r="C5" s="191"/>
      <c r="D5" s="191"/>
      <c r="E5" s="191"/>
      <c r="F5" s="191"/>
      <c r="G5" s="191"/>
      <c r="H5" s="191"/>
      <c r="I5" s="191"/>
      <c r="J5" s="191"/>
      <c r="K5" s="191"/>
      <c r="L5" s="175"/>
      <c r="M5" s="155"/>
    </row>
    <row r="6" spans="1:13" ht="14.5" x14ac:dyDescent="0.65">
      <c r="A6" s="176" t="s">
        <v>52</v>
      </c>
      <c r="B6" s="213" t="s">
        <v>148</v>
      </c>
      <c r="C6" s="213"/>
      <c r="D6" s="213"/>
      <c r="E6" s="213"/>
      <c r="F6" s="213"/>
      <c r="G6" s="213"/>
      <c r="H6" s="213"/>
      <c r="I6" s="213"/>
      <c r="J6" s="213"/>
      <c r="K6" s="213"/>
      <c r="L6" s="213"/>
      <c r="M6" s="155"/>
    </row>
    <row r="7" spans="1:13" ht="15.65" customHeight="1" x14ac:dyDescent="0.65">
      <c r="A7" s="176" t="s">
        <v>53</v>
      </c>
      <c r="B7" s="213" t="s">
        <v>149</v>
      </c>
      <c r="C7" s="213"/>
      <c r="D7" s="213"/>
      <c r="E7" s="213"/>
      <c r="F7" s="213"/>
      <c r="G7" s="213"/>
      <c r="H7" s="213"/>
      <c r="I7" s="213"/>
      <c r="J7" s="213"/>
      <c r="K7" s="213"/>
      <c r="L7" s="213"/>
      <c r="M7" s="155"/>
    </row>
    <row r="8" spans="1:13" ht="45.75" customHeight="1" x14ac:dyDescent="0.65">
      <c r="A8" s="176" t="s">
        <v>54</v>
      </c>
      <c r="B8" s="213" t="s">
        <v>150</v>
      </c>
      <c r="C8" s="213"/>
      <c r="D8" s="213"/>
      <c r="E8" s="213"/>
      <c r="F8" s="213"/>
      <c r="G8" s="213"/>
      <c r="H8" s="213"/>
      <c r="I8" s="213"/>
      <c r="J8" s="213"/>
      <c r="K8" s="213"/>
      <c r="L8" s="213"/>
      <c r="M8" s="155"/>
    </row>
    <row r="9" spans="1:13" s="102" customFormat="1" ht="12.75" customHeight="1" x14ac:dyDescent="0.65">
      <c r="A9" s="124" t="s">
        <v>55</v>
      </c>
      <c r="B9" s="83"/>
      <c r="C9" s="83"/>
      <c r="D9" s="83"/>
      <c r="E9" s="83"/>
      <c r="F9" s="83"/>
      <c r="G9" s="83"/>
      <c r="H9" s="83"/>
      <c r="I9" s="83"/>
      <c r="J9" s="83"/>
      <c r="K9" s="83"/>
      <c r="L9" s="83"/>
    </row>
    <row r="10" spans="1:13" ht="19.5" customHeight="1" x14ac:dyDescent="0.65">
      <c r="A10" s="129" t="s">
        <v>19</v>
      </c>
      <c r="B10" s="129" t="s">
        <v>25</v>
      </c>
      <c r="C10" s="214" t="s">
        <v>27</v>
      </c>
      <c r="D10" s="214"/>
      <c r="E10" s="214"/>
      <c r="F10" s="214"/>
      <c r="G10" s="214"/>
      <c r="H10" s="214"/>
      <c r="I10" s="214"/>
      <c r="J10" s="214"/>
      <c r="K10" s="214"/>
      <c r="L10" s="214"/>
      <c r="M10" s="103"/>
    </row>
    <row r="11" spans="1:13" x14ac:dyDescent="0.65">
      <c r="A11" s="177" t="str">
        <f>CONCATENATE('FFM-Functions-Activities'!B3,": ",'FFM-Functions-Activities'!D3)</f>
        <v>Budget Execution: Budget Setup and Maintenance</v>
      </c>
      <c r="B11" s="130" t="s">
        <v>151</v>
      </c>
      <c r="C11" s="212"/>
      <c r="D11" s="212"/>
      <c r="E11" s="212"/>
      <c r="F11" s="212"/>
      <c r="G11" s="212"/>
      <c r="H11" s="212"/>
      <c r="I11" s="212"/>
      <c r="J11" s="212"/>
      <c r="K11" s="212"/>
      <c r="L11" s="212"/>
      <c r="M11" s="103"/>
    </row>
    <row r="12" spans="1:13" ht="35.15" customHeight="1" x14ac:dyDescent="0.65">
      <c r="A12" s="177" t="str">
        <f>CONCATENATE('FFM-Functions-Activities'!B4,": ",'FFM-Functions-Activities'!D4)</f>
        <v>Budget Execution: Fund Allocation and Control</v>
      </c>
      <c r="B12" s="130" t="s">
        <v>151</v>
      </c>
      <c r="C12" s="212" t="s">
        <v>152</v>
      </c>
      <c r="D12" s="212"/>
      <c r="E12" s="212"/>
      <c r="F12" s="212"/>
      <c r="G12" s="212"/>
      <c r="H12" s="212"/>
      <c r="I12" s="212"/>
      <c r="J12" s="212"/>
      <c r="K12" s="212"/>
      <c r="L12" s="212"/>
      <c r="M12" s="103"/>
    </row>
    <row r="13" spans="1:13" ht="29.25" customHeight="1" x14ac:dyDescent="0.65">
      <c r="A13" s="177" t="str">
        <f>CONCATENATE('FFM-Functions-Activities'!B5,": ",'FFM-Functions-Activities'!D5)</f>
        <v>Budget Execution: Budgetary Reporting</v>
      </c>
      <c r="B13" s="130" t="s">
        <v>151</v>
      </c>
      <c r="C13" s="212" t="s">
        <v>153</v>
      </c>
      <c r="D13" s="212"/>
      <c r="E13" s="212"/>
      <c r="F13" s="212"/>
      <c r="G13" s="212"/>
      <c r="H13" s="212"/>
      <c r="I13" s="212"/>
      <c r="J13" s="212"/>
      <c r="K13" s="212"/>
      <c r="L13" s="212"/>
      <c r="M13" s="103"/>
    </row>
    <row r="14" spans="1:13" ht="28.5" x14ac:dyDescent="0.65">
      <c r="A14" s="177" t="str">
        <f>CONCATENATE('FFM-Functions-Activities'!B6,": ",'FFM-Functions-Activities'!D6)</f>
        <v>Financial Asset Information Management: Financial Asset Information Processing -  Property, Plant, and Equipment</v>
      </c>
      <c r="B14" s="130" t="s">
        <v>151</v>
      </c>
      <c r="C14" s="212" t="s">
        <v>154</v>
      </c>
      <c r="D14" s="212"/>
      <c r="E14" s="212"/>
      <c r="F14" s="212"/>
      <c r="G14" s="212"/>
      <c r="H14" s="212"/>
      <c r="I14" s="212"/>
      <c r="J14" s="212"/>
      <c r="K14" s="212"/>
      <c r="L14" s="212"/>
      <c r="M14" s="103"/>
    </row>
    <row r="15" spans="1:13" ht="28.5" x14ac:dyDescent="0.65">
      <c r="A15" s="177" t="str">
        <f>CONCATENATE('FFM-Functions-Activities'!B7,": ",'FFM-Functions-Activities'!D7)</f>
        <v>Financial Asset Information Management: Financial Asset Information Processing - Loans</v>
      </c>
      <c r="B15" s="130" t="s">
        <v>151</v>
      </c>
      <c r="C15" s="212" t="s">
        <v>154</v>
      </c>
      <c r="D15" s="212"/>
      <c r="E15" s="212"/>
      <c r="F15" s="212"/>
      <c r="G15" s="212"/>
      <c r="H15" s="212"/>
      <c r="I15" s="212"/>
      <c r="J15" s="212"/>
      <c r="K15" s="212"/>
      <c r="L15" s="212"/>
      <c r="M15" s="103"/>
    </row>
    <row r="16" spans="1:13" ht="28.5" customHeight="1" x14ac:dyDescent="0.65">
      <c r="A16" s="177" t="str">
        <f>CONCATENATE('FFM-Functions-Activities'!B8,": ",'FFM-Functions-Activities'!D8)</f>
        <v>Financial Asset Information Management: Financial Asset Information Processing - Heritage Assets and Stewardship Land</v>
      </c>
      <c r="B16" s="130" t="s">
        <v>151</v>
      </c>
      <c r="C16" s="212" t="s">
        <v>154</v>
      </c>
      <c r="D16" s="212"/>
      <c r="E16" s="212"/>
      <c r="F16" s="212"/>
      <c r="G16" s="212"/>
      <c r="H16" s="212"/>
      <c r="I16" s="212"/>
      <c r="J16" s="212"/>
      <c r="K16" s="212"/>
      <c r="L16" s="212"/>
      <c r="M16" s="103"/>
    </row>
    <row r="17" spans="1:13" ht="28.5" customHeight="1" x14ac:dyDescent="0.65">
      <c r="A17" s="177" t="str">
        <f>CONCATENATE('FFM-Functions-Activities'!B9,": ",'FFM-Functions-Activities'!D9)</f>
        <v>Financial Asset Information Management: Financial Asset Information Processing - Federal Oil and Gas Resources</v>
      </c>
      <c r="B17" s="130" t="s">
        <v>151</v>
      </c>
      <c r="C17" s="212" t="s">
        <v>154</v>
      </c>
      <c r="D17" s="212"/>
      <c r="E17" s="212"/>
      <c r="F17" s="212"/>
      <c r="G17" s="212"/>
      <c r="H17" s="212"/>
      <c r="I17" s="212"/>
      <c r="J17" s="212"/>
      <c r="K17" s="212"/>
      <c r="L17" s="212"/>
      <c r="M17" s="103"/>
    </row>
    <row r="18" spans="1:13" ht="28.5" customHeight="1" x14ac:dyDescent="0.65">
      <c r="A18" s="177" t="str">
        <f>CONCATENATE('FFM-Functions-Activities'!B10,": ",'FFM-Functions-Activities'!D10)</f>
        <v>Financial Asset Information Management: Financial Asset Information Processing - Other Federal Assets</v>
      </c>
      <c r="B18" s="130" t="s">
        <v>151</v>
      </c>
      <c r="C18" s="212" t="s">
        <v>154</v>
      </c>
      <c r="D18" s="212"/>
      <c r="E18" s="212"/>
      <c r="F18" s="212"/>
      <c r="G18" s="212"/>
      <c r="H18" s="212"/>
      <c r="I18" s="212"/>
      <c r="J18" s="212"/>
      <c r="K18" s="212"/>
      <c r="L18" s="212"/>
      <c r="M18" s="103"/>
    </row>
    <row r="19" spans="1:13" ht="28.5" customHeight="1" x14ac:dyDescent="0.65">
      <c r="A19" s="177" t="str">
        <f>CONCATENATE('FFM-Functions-Activities'!B11,": ",'FFM-Functions-Activities'!D11)</f>
        <v>Financial Asset Information Management: Financial Asset Information Reporting</v>
      </c>
      <c r="B19" s="130" t="s">
        <v>151</v>
      </c>
      <c r="C19" s="212" t="s">
        <v>153</v>
      </c>
      <c r="D19" s="212"/>
      <c r="E19" s="212"/>
      <c r="F19" s="212"/>
      <c r="G19" s="212"/>
      <c r="H19" s="212"/>
      <c r="I19" s="212"/>
      <c r="J19" s="212"/>
      <c r="K19" s="212"/>
      <c r="L19" s="212"/>
      <c r="M19" s="103"/>
    </row>
    <row r="20" spans="1:13" ht="14.25" customHeight="1" x14ac:dyDescent="0.65">
      <c r="A20" s="177" t="str">
        <f>CONCATENATE('FFM-Functions-Activities'!B12,": ",'FFM-Functions-Activities'!D12)</f>
        <v>Payable Management: Payee Setup and Maintenance</v>
      </c>
      <c r="B20" s="130" t="s">
        <v>151</v>
      </c>
      <c r="C20" s="212" t="s">
        <v>155</v>
      </c>
      <c r="D20" s="212"/>
      <c r="E20" s="212"/>
      <c r="F20" s="212"/>
      <c r="G20" s="212"/>
      <c r="H20" s="212"/>
      <c r="I20" s="212"/>
      <c r="J20" s="212"/>
      <c r="K20" s="212"/>
      <c r="L20" s="212"/>
      <c r="M20" s="103"/>
    </row>
    <row r="21" spans="1:13" ht="30" customHeight="1" x14ac:dyDescent="0.65">
      <c r="A21" s="177" t="str">
        <f>CONCATENATE('FFM-Functions-Activities'!B13,": ",'FFM-Functions-Activities'!D13)</f>
        <v>Payable Management: Obligation Management</v>
      </c>
      <c r="B21" s="130" t="s">
        <v>151</v>
      </c>
      <c r="C21" s="212" t="s">
        <v>156</v>
      </c>
      <c r="D21" s="212"/>
      <c r="E21" s="212"/>
      <c r="F21" s="212"/>
      <c r="G21" s="212"/>
      <c r="H21" s="212"/>
      <c r="I21" s="212"/>
      <c r="J21" s="212"/>
      <c r="K21" s="212"/>
      <c r="L21" s="212"/>
      <c r="M21" s="103"/>
    </row>
    <row r="22" spans="1:13" ht="28.5" x14ac:dyDescent="0.65">
      <c r="A22" s="177" t="str">
        <f>CONCATENATE('FFM-Functions-Activities'!B14,": ",'FFM-Functions-Activities'!D14)</f>
        <v>Payable Management: Payment Processing - Intragovernmental Payments</v>
      </c>
      <c r="B22" s="130" t="s">
        <v>151</v>
      </c>
      <c r="C22" s="212" t="s">
        <v>157</v>
      </c>
      <c r="D22" s="212"/>
      <c r="E22" s="212"/>
      <c r="F22" s="212"/>
      <c r="G22" s="212"/>
      <c r="H22" s="212"/>
      <c r="I22" s="212"/>
      <c r="J22" s="212"/>
      <c r="K22" s="212"/>
      <c r="L22" s="212"/>
      <c r="M22" s="103"/>
    </row>
    <row r="23" spans="1:13" x14ac:dyDescent="0.65">
      <c r="A23" s="177" t="str">
        <f>CONCATENATE('FFM-Functions-Activities'!B15,": ",'FFM-Functions-Activities'!D15)</f>
        <v>Payable Management: Payment Processing - Payroll Payments</v>
      </c>
      <c r="B23" s="130" t="s">
        <v>151</v>
      </c>
      <c r="C23" s="212" t="s">
        <v>158</v>
      </c>
      <c r="D23" s="212"/>
      <c r="E23" s="212"/>
      <c r="F23" s="212"/>
      <c r="G23" s="212"/>
      <c r="H23" s="212"/>
      <c r="I23" s="212"/>
      <c r="J23" s="212"/>
      <c r="K23" s="212"/>
      <c r="L23" s="212"/>
      <c r="M23" s="103"/>
    </row>
    <row r="24" spans="1:13" ht="28.5" x14ac:dyDescent="0.65">
      <c r="A24" s="177" t="str">
        <f>CONCATENATE('FFM-Functions-Activities'!B16,": ",'FFM-Functions-Activities'!D16)</f>
        <v>Payable Management: Payment Processing - Travel Temporary Duty (TDY) and Local Payments</v>
      </c>
      <c r="B24" s="130" t="s">
        <v>151</v>
      </c>
      <c r="C24" s="212" t="s">
        <v>159</v>
      </c>
      <c r="D24" s="212"/>
      <c r="E24" s="212"/>
      <c r="F24" s="212"/>
      <c r="G24" s="212"/>
      <c r="H24" s="212"/>
      <c r="I24" s="212"/>
      <c r="J24" s="212"/>
      <c r="K24" s="212"/>
      <c r="L24" s="212"/>
      <c r="M24" s="103"/>
    </row>
    <row r="25" spans="1:13" ht="28.5" x14ac:dyDescent="0.65">
      <c r="A25" s="177" t="str">
        <f>CONCATENATE('FFM-Functions-Activities'!B17,": ",'FFM-Functions-Activities'!D17)</f>
        <v>Payable Management: Payment Processing - Travel PCS Payments</v>
      </c>
      <c r="B25" s="130" t="s">
        <v>151</v>
      </c>
      <c r="C25" s="212"/>
      <c r="D25" s="212"/>
      <c r="E25" s="212"/>
      <c r="F25" s="212"/>
      <c r="G25" s="212"/>
      <c r="H25" s="212"/>
      <c r="I25" s="212"/>
      <c r="J25" s="212"/>
      <c r="K25" s="212"/>
      <c r="L25" s="212"/>
      <c r="M25" s="103"/>
    </row>
    <row r="26" spans="1:13" ht="28.5" x14ac:dyDescent="0.65">
      <c r="A26" s="177" t="str">
        <f>CONCATENATE('FFM-Functions-Activities'!B18,": ",'FFM-Functions-Activities'!D18)</f>
        <v>Payable Management: Payment Processing - Commercial Payments</v>
      </c>
      <c r="B26" s="130" t="s">
        <v>151</v>
      </c>
      <c r="C26" s="212" t="s">
        <v>160</v>
      </c>
      <c r="D26" s="212"/>
      <c r="E26" s="212"/>
      <c r="F26" s="212"/>
      <c r="G26" s="212"/>
      <c r="H26" s="212"/>
      <c r="I26" s="212"/>
      <c r="J26" s="212"/>
      <c r="K26" s="212"/>
      <c r="L26" s="212"/>
      <c r="M26" s="103"/>
    </row>
    <row r="27" spans="1:13" ht="27.75" customHeight="1" x14ac:dyDescent="0.65">
      <c r="A27" s="177" t="str">
        <f>CONCATENATE('FFM-Functions-Activities'!B19,": ",'FFM-Functions-Activities'!D19)</f>
        <v>Payable Management: Payment Processing - Grant Payments</v>
      </c>
      <c r="B27" s="130" t="s">
        <v>151</v>
      </c>
      <c r="C27" s="212" t="s">
        <v>161</v>
      </c>
      <c r="D27" s="212"/>
      <c r="E27" s="212"/>
      <c r="F27" s="212"/>
      <c r="G27" s="212"/>
      <c r="H27" s="212"/>
      <c r="I27" s="212"/>
      <c r="J27" s="212"/>
      <c r="K27" s="212"/>
      <c r="L27" s="212"/>
      <c r="M27" s="103"/>
    </row>
    <row r="28" spans="1:13" x14ac:dyDescent="0.65">
      <c r="A28" s="177" t="str">
        <f>CONCATENATE('FFM-Functions-Activities'!B20,": ",'FFM-Functions-Activities'!D20)</f>
        <v>Payable Management: Payment Processing - Loan Payments</v>
      </c>
      <c r="B28" s="130" t="s">
        <v>151</v>
      </c>
      <c r="C28" s="212"/>
      <c r="D28" s="212"/>
      <c r="E28" s="212"/>
      <c r="F28" s="212"/>
      <c r="G28" s="212"/>
      <c r="H28" s="212"/>
      <c r="I28" s="212"/>
      <c r="J28" s="212"/>
      <c r="K28" s="212"/>
      <c r="L28" s="212"/>
      <c r="M28" s="155"/>
    </row>
    <row r="29" spans="1:13" ht="32.450000000000003" customHeight="1" x14ac:dyDescent="0.65">
      <c r="A29" s="177" t="str">
        <f>CONCATENATE('FFM-Functions-Activities'!B21,": ",'FFM-Functions-Activities'!D21)</f>
        <v xml:space="preserve">Payable Management: Payment Processing - Other Payments (Foreign and Miscellaneous Payments)
</v>
      </c>
      <c r="B29" s="130" t="s">
        <v>151</v>
      </c>
      <c r="C29" s="212"/>
      <c r="D29" s="212"/>
      <c r="E29" s="212"/>
      <c r="F29" s="212"/>
      <c r="G29" s="212"/>
      <c r="H29" s="212"/>
      <c r="I29" s="212"/>
      <c r="J29" s="212"/>
      <c r="K29" s="212"/>
      <c r="L29" s="212"/>
      <c r="M29" s="103"/>
    </row>
    <row r="30" spans="1:13" x14ac:dyDescent="0.65">
      <c r="A30" s="177" t="str">
        <f>CONCATENATE('FFM-Functions-Activities'!B22,": ",'FFM-Functions-Activities'!D22)</f>
        <v>Payable Management: Payment Disbursement</v>
      </c>
      <c r="B30" s="130" t="s">
        <v>151</v>
      </c>
      <c r="C30" s="212"/>
      <c r="D30" s="212"/>
      <c r="E30" s="212"/>
      <c r="F30" s="212"/>
      <c r="G30" s="212"/>
      <c r="H30" s="212"/>
      <c r="I30" s="212"/>
      <c r="J30" s="212"/>
      <c r="K30" s="212"/>
      <c r="L30" s="212"/>
      <c r="M30" s="103"/>
    </row>
    <row r="31" spans="1:13" ht="28.5" x14ac:dyDescent="0.65">
      <c r="A31" s="177" t="str">
        <f>CONCATENATE('FFM-Functions-Activities'!B23,": ",'FFM-Functions-Activities'!D23)</f>
        <v>Payable Management: Payment Confirmation and Issue Resolution</v>
      </c>
      <c r="B31" s="130" t="s">
        <v>151</v>
      </c>
      <c r="C31" s="212"/>
      <c r="D31" s="212"/>
      <c r="E31" s="212"/>
      <c r="F31" s="212"/>
      <c r="G31" s="212"/>
      <c r="H31" s="212"/>
      <c r="I31" s="212"/>
      <c r="J31" s="212"/>
      <c r="K31" s="212"/>
      <c r="L31" s="212"/>
      <c r="M31" s="103"/>
    </row>
    <row r="32" spans="1:13" ht="30" customHeight="1" x14ac:dyDescent="0.65">
      <c r="A32" s="177" t="str">
        <f>CONCATENATE('FFM-Functions-Activities'!B24,": ",'FFM-Functions-Activities'!D24)</f>
        <v>Payable Management: Payment Reporting</v>
      </c>
      <c r="B32" s="130" t="s">
        <v>151</v>
      </c>
      <c r="C32" s="212" t="s">
        <v>153</v>
      </c>
      <c r="D32" s="212"/>
      <c r="E32" s="212"/>
      <c r="F32" s="212"/>
      <c r="G32" s="212"/>
      <c r="H32" s="212"/>
      <c r="I32" s="212"/>
      <c r="J32" s="212"/>
      <c r="K32" s="212"/>
      <c r="L32" s="212"/>
      <c r="M32" s="103"/>
    </row>
    <row r="33" spans="1:13" x14ac:dyDescent="0.65">
      <c r="A33" s="177" t="str">
        <f>CONCATENATE('FFM-Functions-Activities'!B25,": ",'FFM-Functions-Activities'!D25)</f>
        <v>Revenue Management: Revenue Processing</v>
      </c>
      <c r="B33" s="130" t="s">
        <v>151</v>
      </c>
      <c r="C33" s="212"/>
      <c r="D33" s="212"/>
      <c r="E33" s="212"/>
      <c r="F33" s="212"/>
      <c r="G33" s="212"/>
      <c r="H33" s="212"/>
      <c r="I33" s="212"/>
      <c r="J33" s="212"/>
      <c r="K33" s="212"/>
      <c r="L33" s="212"/>
      <c r="M33" s="103"/>
    </row>
    <row r="34" spans="1:13" ht="32.9" customHeight="1" x14ac:dyDescent="0.65">
      <c r="A34" s="177" t="str">
        <f>CONCATENATE('FFM-Functions-Activities'!B26,": ",'FFM-Functions-Activities'!D26)</f>
        <v>Revenue Management: Revenue Reporting</v>
      </c>
      <c r="B34" s="130" t="s">
        <v>151</v>
      </c>
      <c r="C34" s="212" t="s">
        <v>162</v>
      </c>
      <c r="D34" s="212"/>
      <c r="E34" s="212"/>
      <c r="F34" s="212"/>
      <c r="G34" s="212"/>
      <c r="H34" s="212"/>
      <c r="I34" s="212"/>
      <c r="J34" s="212"/>
      <c r="K34" s="212"/>
      <c r="L34" s="212"/>
      <c r="M34" s="103"/>
    </row>
    <row r="35" spans="1:13" ht="28.5" x14ac:dyDescent="0.65">
      <c r="A35" s="177" t="str">
        <f>CONCATENATE('FFM-Functions-Activities'!B27,": ",'FFM-Functions-Activities'!D27)</f>
        <v>Reimbursable Management: Reimbursable Agreement Setup and Maintenance</v>
      </c>
      <c r="B35" s="130" t="s">
        <v>151</v>
      </c>
      <c r="C35" s="212"/>
      <c r="D35" s="212"/>
      <c r="E35" s="212"/>
      <c r="F35" s="212"/>
      <c r="G35" s="212"/>
      <c r="H35" s="212"/>
      <c r="I35" s="212"/>
      <c r="J35" s="212"/>
      <c r="K35" s="212"/>
      <c r="L35" s="212"/>
      <c r="M35" s="103"/>
    </row>
    <row r="36" spans="1:13" x14ac:dyDescent="0.65">
      <c r="A36" s="177" t="str">
        <f>CONCATENATE('FFM-Functions-Activities'!B28,": ",'FFM-Functions-Activities'!D28)</f>
        <v>Reimbursable Management: Reimbursable Invoicing</v>
      </c>
      <c r="B36" s="130" t="s">
        <v>151</v>
      </c>
      <c r="C36" s="212" t="s">
        <v>157</v>
      </c>
      <c r="D36" s="212"/>
      <c r="E36" s="212"/>
      <c r="F36" s="212"/>
      <c r="G36" s="212"/>
      <c r="H36" s="212"/>
      <c r="I36" s="212"/>
      <c r="J36" s="212"/>
      <c r="K36" s="212"/>
      <c r="L36" s="212"/>
      <c r="M36" s="103"/>
    </row>
    <row r="37" spans="1:13" x14ac:dyDescent="0.65">
      <c r="A37" s="177" t="str">
        <f>CONCATENATE('FFM-Functions-Activities'!B29,": ",'FFM-Functions-Activities'!D29)</f>
        <v>Reimbursable Management: Reimbursable Receipt Processing</v>
      </c>
      <c r="B37" s="130" t="s">
        <v>151</v>
      </c>
      <c r="C37" s="212" t="s">
        <v>157</v>
      </c>
      <c r="D37" s="212"/>
      <c r="E37" s="212"/>
      <c r="F37" s="212"/>
      <c r="G37" s="212"/>
      <c r="H37" s="212"/>
      <c r="I37" s="212"/>
      <c r="J37" s="212"/>
      <c r="K37" s="212"/>
      <c r="L37" s="212"/>
      <c r="M37" s="103"/>
    </row>
    <row r="38" spans="1:13" x14ac:dyDescent="0.65">
      <c r="A38" s="177" t="str">
        <f>CONCATENATE('FFM-Functions-Activities'!B30,": ",'FFM-Functions-Activities'!D30)</f>
        <v>Reimbursable Management: Reimbursable Reconciliation</v>
      </c>
      <c r="B38" s="130" t="s">
        <v>151</v>
      </c>
      <c r="C38" s="212"/>
      <c r="D38" s="212"/>
      <c r="E38" s="212"/>
      <c r="F38" s="212"/>
      <c r="G38" s="212"/>
      <c r="H38" s="212"/>
      <c r="I38" s="212"/>
      <c r="J38" s="212"/>
      <c r="K38" s="212"/>
      <c r="L38" s="212"/>
      <c r="M38" s="103"/>
    </row>
    <row r="39" spans="1:13" x14ac:dyDescent="0.65">
      <c r="A39" s="177" t="str">
        <f>CONCATENATE('FFM-Functions-Activities'!B31,": ",'FFM-Functions-Activities'!D31)</f>
        <v>Reimbursable Management: Reimbursable Closeout</v>
      </c>
      <c r="B39" s="130" t="s">
        <v>151</v>
      </c>
      <c r="C39" s="212"/>
      <c r="D39" s="212"/>
      <c r="E39" s="212"/>
      <c r="F39" s="212"/>
      <c r="G39" s="212"/>
      <c r="H39" s="212"/>
      <c r="I39" s="212"/>
      <c r="J39" s="212"/>
      <c r="K39" s="212"/>
      <c r="L39" s="212"/>
      <c r="M39" s="103"/>
    </row>
    <row r="40" spans="1:13" ht="28.4" customHeight="1" x14ac:dyDescent="0.65">
      <c r="A40" s="177" t="str">
        <f>CONCATENATE('FFM-Functions-Activities'!B32,": ",'FFM-Functions-Activities'!D32)</f>
        <v>Reimbursable Management: Reimbursable Reporting</v>
      </c>
      <c r="B40" s="130" t="s">
        <v>151</v>
      </c>
      <c r="C40" s="212" t="s">
        <v>162</v>
      </c>
      <c r="D40" s="212"/>
      <c r="E40" s="212"/>
      <c r="F40" s="212"/>
      <c r="G40" s="212"/>
      <c r="H40" s="212"/>
      <c r="I40" s="212"/>
      <c r="J40" s="212"/>
      <c r="K40" s="212"/>
      <c r="L40" s="212"/>
      <c r="M40" s="155"/>
    </row>
    <row r="41" spans="1:13" ht="28.5" x14ac:dyDescent="0.65">
      <c r="A41" s="177" t="str">
        <f>CONCATENATE('FFM-Functions-Activities'!B33,": ",'FFM-Functions-Activities'!D33)</f>
        <v>Receivable and Collection Management: Payer Setup and Maintenance</v>
      </c>
      <c r="B41" s="130" t="s">
        <v>151</v>
      </c>
      <c r="C41" s="212"/>
      <c r="D41" s="212"/>
      <c r="E41" s="212"/>
      <c r="F41" s="212"/>
      <c r="G41" s="212"/>
      <c r="H41" s="212"/>
      <c r="I41" s="212"/>
      <c r="J41" s="212"/>
      <c r="K41" s="212"/>
      <c r="L41" s="212"/>
      <c r="M41" s="103"/>
    </row>
    <row r="42" spans="1:13" ht="28.5" x14ac:dyDescent="0.65">
      <c r="A42" s="177" t="str">
        <f>CONCATENATE('FFM-Functions-Activities'!B34,": ",'FFM-Functions-Activities'!D34)</f>
        <v>Receivable and Collection Management: Public Receivable Setup and Billing Invoicing</v>
      </c>
      <c r="B42" s="130" t="s">
        <v>151</v>
      </c>
      <c r="C42" s="212"/>
      <c r="D42" s="212"/>
      <c r="E42" s="212"/>
      <c r="F42" s="212"/>
      <c r="G42" s="212"/>
      <c r="H42" s="212"/>
      <c r="I42" s="212"/>
      <c r="J42" s="212"/>
      <c r="K42" s="212"/>
      <c r="L42" s="212"/>
      <c r="M42" s="103"/>
    </row>
    <row r="43" spans="1:13" ht="28.5" x14ac:dyDescent="0.65">
      <c r="A43" s="177" t="str">
        <f>CONCATENATE('FFM-Functions-Activities'!B35,": ",'FFM-Functions-Activities'!D35)</f>
        <v>Receivable and Collection Management: Public Receipt Processing</v>
      </c>
      <c r="B43" s="130" t="s">
        <v>151</v>
      </c>
      <c r="C43" s="212"/>
      <c r="D43" s="212"/>
      <c r="E43" s="212"/>
      <c r="F43" s="212"/>
      <c r="G43" s="212"/>
      <c r="H43" s="212"/>
      <c r="I43" s="212"/>
      <c r="J43" s="212"/>
      <c r="K43" s="212"/>
      <c r="L43" s="212"/>
      <c r="M43" s="103"/>
    </row>
    <row r="44" spans="1:13" ht="28.5" x14ac:dyDescent="0.65">
      <c r="A44" s="177" t="str">
        <f>CONCATENATE('FFM-Functions-Activities'!B36,": ",'FFM-Functions-Activities'!D36)</f>
        <v>Receivable and Collection Management: Credit Memo and Adjustment Processing</v>
      </c>
      <c r="B44" s="130" t="s">
        <v>151</v>
      </c>
      <c r="C44" s="212"/>
      <c r="D44" s="212"/>
      <c r="E44" s="212"/>
      <c r="F44" s="212"/>
      <c r="G44" s="212"/>
      <c r="H44" s="212"/>
      <c r="I44" s="212"/>
      <c r="J44" s="212"/>
      <c r="K44" s="212"/>
      <c r="L44" s="212"/>
      <c r="M44" s="103"/>
    </row>
    <row r="45" spans="1:13" ht="28.5" x14ac:dyDescent="0.65">
      <c r="A45" s="177" t="str">
        <f>CONCATENATE('FFM-Functions-Activities'!B37,": ",'FFM-Functions-Activities'!D37)</f>
        <v>Receivable and Collection Management: Public Receivable Monitoring and Maintenance</v>
      </c>
      <c r="B45" s="130" t="s">
        <v>151</v>
      </c>
      <c r="C45" s="212"/>
      <c r="D45" s="212"/>
      <c r="E45" s="212"/>
      <c r="F45" s="212"/>
      <c r="G45" s="212"/>
      <c r="H45" s="212"/>
      <c r="I45" s="212"/>
      <c r="J45" s="212"/>
      <c r="K45" s="212"/>
      <c r="L45" s="212"/>
      <c r="M45" s="103"/>
    </row>
    <row r="46" spans="1:13" ht="28.5" customHeight="1" x14ac:dyDescent="0.65">
      <c r="A46" s="177" t="str">
        <f>CONCATENATE('FFM-Functions-Activities'!B38,": ",'FFM-Functions-Activities'!D38)</f>
        <v>Receivable and Collection Management: Public Receivable and Collection Reporting</v>
      </c>
      <c r="B46" s="130" t="s">
        <v>151</v>
      </c>
      <c r="C46" s="212" t="s">
        <v>153</v>
      </c>
      <c r="D46" s="212"/>
      <c r="E46" s="212"/>
      <c r="F46" s="212"/>
      <c r="G46" s="212"/>
      <c r="H46" s="212"/>
      <c r="I46" s="212"/>
      <c r="J46" s="212"/>
      <c r="K46" s="212"/>
      <c r="L46" s="212"/>
      <c r="M46" s="103"/>
    </row>
    <row r="47" spans="1:13" x14ac:dyDescent="0.65">
      <c r="A47" s="177" t="str">
        <f>CONCATENATE('FFM-Functions-Activities'!B39,": ",'FFM-Functions-Activities'!D39)</f>
        <v>Delinquent Debt Management: Delinquent Debt Collection</v>
      </c>
      <c r="B47" s="130" t="s">
        <v>151</v>
      </c>
      <c r="C47" s="212"/>
      <c r="D47" s="212"/>
      <c r="E47" s="212"/>
      <c r="F47" s="212"/>
      <c r="G47" s="212"/>
      <c r="H47" s="212"/>
      <c r="I47" s="212"/>
      <c r="J47" s="212"/>
      <c r="K47" s="212"/>
      <c r="L47" s="212"/>
      <c r="M47" s="103"/>
    </row>
    <row r="48" spans="1:13" ht="28.5" x14ac:dyDescent="0.65">
      <c r="A48" s="177" t="str">
        <f>CONCATENATE('FFM-Functions-Activities'!B40,": ",'FFM-Functions-Activities'!D40)</f>
        <v>Delinquent Debt Management: Delinquent Debt Write-off and Closeout</v>
      </c>
      <c r="B48" s="130" t="s">
        <v>151</v>
      </c>
      <c r="C48" s="212"/>
      <c r="D48" s="212"/>
      <c r="E48" s="212"/>
      <c r="F48" s="212"/>
      <c r="G48" s="212"/>
      <c r="H48" s="212"/>
      <c r="I48" s="212"/>
      <c r="J48" s="212"/>
      <c r="K48" s="212"/>
      <c r="L48" s="212"/>
      <c r="M48" s="103"/>
    </row>
    <row r="49" spans="1:13" ht="32.450000000000003" customHeight="1" x14ac:dyDescent="0.65">
      <c r="A49" s="177" t="str">
        <f>CONCATENATE('FFM-Functions-Activities'!B41,": ",'FFM-Functions-Activities'!D41)</f>
        <v>Delinquent Debt Management: Delinquent Debt Reporting</v>
      </c>
      <c r="B49" s="130" t="s">
        <v>151</v>
      </c>
      <c r="C49" s="212" t="s">
        <v>153</v>
      </c>
      <c r="D49" s="212"/>
      <c r="E49" s="212"/>
      <c r="F49" s="212"/>
      <c r="G49" s="212"/>
      <c r="H49" s="212"/>
      <c r="I49" s="212"/>
      <c r="J49" s="212"/>
      <c r="K49" s="212"/>
      <c r="L49" s="212"/>
      <c r="M49" s="103"/>
    </row>
    <row r="50" spans="1:13" x14ac:dyDescent="0.65">
      <c r="A50" s="177" t="str">
        <f>CONCATENATE('FFM-Functions-Activities'!B42,": ",'FFM-Functions-Activities'!D42)</f>
        <v>Cost Management: Cost Management Setup and Maintenance</v>
      </c>
      <c r="B50" s="130" t="s">
        <v>151</v>
      </c>
      <c r="C50" s="212"/>
      <c r="D50" s="212"/>
      <c r="E50" s="212"/>
      <c r="F50" s="212"/>
      <c r="G50" s="212"/>
      <c r="H50" s="212"/>
      <c r="I50" s="212"/>
      <c r="J50" s="212"/>
      <c r="K50" s="212"/>
      <c r="L50" s="212"/>
      <c r="M50" s="103"/>
    </row>
    <row r="51" spans="1:13" x14ac:dyDescent="0.65">
      <c r="A51" s="177" t="str">
        <f>CONCATENATE('FFM-Functions-Activities'!B43,": ",'FFM-Functions-Activities'!D43)</f>
        <v>Cost Management: Cost Accumulation and Allocation</v>
      </c>
      <c r="B51" s="130" t="s">
        <v>151</v>
      </c>
      <c r="C51" s="212"/>
      <c r="D51" s="212"/>
      <c r="E51" s="212"/>
      <c r="F51" s="212"/>
      <c r="G51" s="212"/>
      <c r="H51" s="212"/>
      <c r="I51" s="212"/>
      <c r="J51" s="212"/>
      <c r="K51" s="212"/>
      <c r="L51" s="212"/>
      <c r="M51" s="103"/>
    </row>
    <row r="52" spans="1:13" ht="30" customHeight="1" x14ac:dyDescent="0.65">
      <c r="A52" s="177" t="str">
        <f>CONCATENATE('FFM-Functions-Activities'!B44,": ",'FFM-Functions-Activities'!D44)</f>
        <v>Cost Management: Cost Reporting</v>
      </c>
      <c r="B52" s="130" t="s">
        <v>151</v>
      </c>
      <c r="C52" s="212" t="s">
        <v>162</v>
      </c>
      <c r="D52" s="212"/>
      <c r="E52" s="212"/>
      <c r="F52" s="212"/>
      <c r="G52" s="212"/>
      <c r="H52" s="212"/>
      <c r="I52" s="212"/>
      <c r="J52" s="212"/>
      <c r="K52" s="212"/>
      <c r="L52" s="212"/>
      <c r="M52" s="155"/>
    </row>
    <row r="53" spans="1:13" ht="28.5" x14ac:dyDescent="0.65">
      <c r="A53" s="177" t="str">
        <f>CONCATENATE('FFM-Functions-Activities'!B45,": ",'FFM-Functions-Activities'!D45)</f>
        <v>General Ledger Management: General Ledger Setup and Maintenance</v>
      </c>
      <c r="B53" s="130" t="s">
        <v>151</v>
      </c>
      <c r="C53" s="212"/>
      <c r="D53" s="212"/>
      <c r="E53" s="212"/>
      <c r="F53" s="212"/>
      <c r="G53" s="212"/>
      <c r="H53" s="212"/>
      <c r="I53" s="212"/>
      <c r="J53" s="212"/>
      <c r="K53" s="212"/>
      <c r="L53" s="212"/>
      <c r="M53" s="103"/>
    </row>
    <row r="54" spans="1:13" x14ac:dyDescent="0.65">
      <c r="A54" s="177" t="str">
        <f>CONCATENATE('FFM-Functions-Activities'!B46,": ",'FFM-Functions-Activities'!D46)</f>
        <v>General Ledger Management: General Ledger Posting</v>
      </c>
      <c r="B54" s="130" t="s">
        <v>151</v>
      </c>
      <c r="C54" s="212"/>
      <c r="D54" s="212"/>
      <c r="E54" s="212"/>
      <c r="F54" s="212"/>
      <c r="G54" s="212"/>
      <c r="H54" s="212"/>
      <c r="I54" s="212"/>
      <c r="J54" s="212"/>
      <c r="K54" s="212"/>
      <c r="L54" s="212"/>
      <c r="M54" s="103"/>
    </row>
    <row r="55" spans="1:13" ht="28.5" x14ac:dyDescent="0.65">
      <c r="A55" s="177" t="str">
        <f>CONCATENATE('FFM-Functions-Activities'!B47,": ",'FFM-Functions-Activities'!D47)</f>
        <v xml:space="preserve">General Ledger Management: Accrual and Liability/Asset Processing </v>
      </c>
      <c r="B55" s="130" t="s">
        <v>151</v>
      </c>
      <c r="C55" s="212" t="s">
        <v>163</v>
      </c>
      <c r="D55" s="212"/>
      <c r="E55" s="212"/>
      <c r="F55" s="212"/>
      <c r="G55" s="212"/>
      <c r="H55" s="212"/>
      <c r="I55" s="212"/>
      <c r="J55" s="212"/>
      <c r="K55" s="212"/>
      <c r="L55" s="212"/>
      <c r="M55" s="103"/>
    </row>
    <row r="56" spans="1:13" x14ac:dyDescent="0.65">
      <c r="A56" s="177" t="str">
        <f>CONCATENATE('FFM-Functions-Activities'!B48,": ",'FFM-Functions-Activities'!D48)</f>
        <v>General Ledger Management: Period End Closing</v>
      </c>
      <c r="B56" s="130" t="s">
        <v>151</v>
      </c>
      <c r="C56" s="212"/>
      <c r="D56" s="212"/>
      <c r="E56" s="212"/>
      <c r="F56" s="212"/>
      <c r="G56" s="212"/>
      <c r="H56" s="212"/>
      <c r="I56" s="212"/>
      <c r="J56" s="212"/>
      <c r="K56" s="212"/>
      <c r="L56" s="212"/>
      <c r="M56" s="103"/>
    </row>
    <row r="57" spans="1:13" ht="28.5" x14ac:dyDescent="0.65">
      <c r="A57" s="177" t="str">
        <f>CONCATENATE('FFM-Functions-Activities'!B49,": ",'FFM-Functions-Activities'!D49)</f>
        <v>Financial Reconciliation: Reconciliation of General Ledger and Subledgers</v>
      </c>
      <c r="B57" s="130" t="s">
        <v>151</v>
      </c>
      <c r="C57" s="212"/>
      <c r="D57" s="212"/>
      <c r="E57" s="212"/>
      <c r="F57" s="212"/>
      <c r="G57" s="212"/>
      <c r="H57" s="212"/>
      <c r="I57" s="212"/>
      <c r="J57" s="212"/>
      <c r="K57" s="212"/>
      <c r="L57" s="212"/>
      <c r="M57" s="103"/>
    </row>
    <row r="58" spans="1:13" ht="28.5" x14ac:dyDescent="0.65">
      <c r="A58" s="177" t="str">
        <f>CONCATENATE('FFM-Functions-Activities'!B50,": ",'FFM-Functions-Activities'!D50)</f>
        <v>Financial Reconciliation: Reconciliation of Intragovernmental Activity</v>
      </c>
      <c r="B58" s="130" t="s">
        <v>151</v>
      </c>
      <c r="C58" s="212"/>
      <c r="D58" s="212"/>
      <c r="E58" s="212"/>
      <c r="F58" s="212"/>
      <c r="G58" s="212"/>
      <c r="H58" s="212"/>
      <c r="I58" s="212"/>
      <c r="J58" s="212"/>
      <c r="K58" s="212"/>
      <c r="L58" s="212"/>
      <c r="M58" s="103"/>
    </row>
    <row r="59" spans="1:13" x14ac:dyDescent="0.65">
      <c r="A59" s="177" t="str">
        <f>CONCATENATE('FFM-Functions-Activities'!B51,": ",'FFM-Functions-Activities'!D51)</f>
        <v>Financial Reconciliation: Reconciliation with Treasury Balance</v>
      </c>
      <c r="B59" s="130" t="s">
        <v>151</v>
      </c>
      <c r="C59" s="212"/>
      <c r="D59" s="212"/>
      <c r="E59" s="212"/>
      <c r="F59" s="212"/>
      <c r="G59" s="212"/>
      <c r="H59" s="212"/>
      <c r="I59" s="212"/>
      <c r="J59" s="212"/>
      <c r="K59" s="212"/>
      <c r="L59" s="212"/>
      <c r="M59" s="103"/>
    </row>
    <row r="60" spans="1:13" ht="30.2" customHeight="1" x14ac:dyDescent="0.65">
      <c r="A60" s="177" t="str">
        <f>CONCATENATE('FFM-Functions-Activities'!B52,": ",'FFM-Functions-Activities'!D52)</f>
        <v>Financial / Performance Reporting: Treasury Reporting</v>
      </c>
      <c r="B60" s="130" t="s">
        <v>151</v>
      </c>
      <c r="C60" s="212" t="s">
        <v>153</v>
      </c>
      <c r="D60" s="212"/>
      <c r="E60" s="212"/>
      <c r="F60" s="212"/>
      <c r="G60" s="212"/>
      <c r="H60" s="212"/>
      <c r="I60" s="212"/>
      <c r="J60" s="212"/>
      <c r="K60" s="212"/>
      <c r="L60" s="212"/>
      <c r="M60" s="103"/>
    </row>
    <row r="61" spans="1:13" ht="28.5" x14ac:dyDescent="0.65">
      <c r="A61" s="177" t="str">
        <f>CONCATENATE('FFM-Functions-Activities'!B53,": ",'FFM-Functions-Activities'!D53)</f>
        <v>Financial / Performance Reporting: Financial Statement Preparation</v>
      </c>
      <c r="B61" s="130" t="s">
        <v>151</v>
      </c>
      <c r="C61" s="212" t="s">
        <v>153</v>
      </c>
      <c r="D61" s="212"/>
      <c r="E61" s="212"/>
      <c r="F61" s="212"/>
      <c r="G61" s="212"/>
      <c r="H61" s="212"/>
      <c r="I61" s="212"/>
      <c r="J61" s="212"/>
      <c r="K61" s="212"/>
      <c r="L61" s="212"/>
      <c r="M61" s="103"/>
    </row>
    <row r="62" spans="1:13" ht="28.5" customHeight="1" x14ac:dyDescent="0.65">
      <c r="A62" s="177" t="str">
        <f>CONCATENATE('FFM-Functions-Activities'!B54,": ",'FFM-Functions-Activities'!D54)</f>
        <v>Financial / Performance Reporting: Cash Forecasting and Reporting</v>
      </c>
      <c r="B62" s="130" t="s">
        <v>151</v>
      </c>
      <c r="C62" s="212" t="s">
        <v>162</v>
      </c>
      <c r="D62" s="212"/>
      <c r="E62" s="212"/>
      <c r="F62" s="212"/>
      <c r="G62" s="212"/>
      <c r="H62" s="212"/>
      <c r="I62" s="212"/>
      <c r="J62" s="212"/>
      <c r="K62" s="212"/>
      <c r="L62" s="212"/>
      <c r="M62" s="103"/>
    </row>
    <row r="63" spans="1:13" ht="28.5" customHeight="1" x14ac:dyDescent="0.65">
      <c r="A63" s="177" t="str">
        <f>CONCATENATE('FFM-Functions-Activities'!B55,": ",'FFM-Functions-Activities'!D55)</f>
        <v>Financial / Performance Reporting: Financial Performance and Operational Reporting</v>
      </c>
      <c r="B63" s="130" t="s">
        <v>151</v>
      </c>
      <c r="C63" s="212" t="s">
        <v>162</v>
      </c>
      <c r="D63" s="212"/>
      <c r="E63" s="212"/>
      <c r="F63" s="212"/>
      <c r="G63" s="212"/>
      <c r="H63" s="212"/>
      <c r="I63" s="212"/>
      <c r="J63" s="212"/>
      <c r="K63" s="212"/>
      <c r="L63" s="212"/>
      <c r="M63" s="103"/>
    </row>
    <row r="64" spans="1:13" ht="28.5" customHeight="1" x14ac:dyDescent="0.65">
      <c r="A64" s="177" t="str">
        <f>CONCATENATE('FFM-Functions-Activities'!B56,": ",'FFM-Functions-Activities'!D56)</f>
        <v xml:space="preserve">Financial / Performance Reporting: Internal Control/Compliance Reviews </v>
      </c>
      <c r="B64" s="130" t="s">
        <v>151</v>
      </c>
      <c r="C64" s="212" t="s">
        <v>162</v>
      </c>
      <c r="D64" s="212"/>
      <c r="E64" s="212"/>
      <c r="F64" s="212"/>
      <c r="G64" s="212"/>
      <c r="H64" s="212"/>
      <c r="I64" s="212"/>
      <c r="J64" s="212"/>
      <c r="K64" s="212"/>
      <c r="L64" s="212"/>
      <c r="M64" s="103"/>
    </row>
    <row r="65" spans="1:13" x14ac:dyDescent="0.65">
      <c r="A65" s="177"/>
      <c r="B65" s="82"/>
      <c r="C65" s="212"/>
      <c r="D65" s="212"/>
      <c r="E65" s="212"/>
      <c r="F65" s="212"/>
      <c r="G65" s="212"/>
      <c r="H65" s="212"/>
      <c r="I65" s="212"/>
      <c r="J65" s="212"/>
      <c r="K65" s="212"/>
      <c r="L65" s="212"/>
      <c r="M65" s="155"/>
    </row>
    <row r="66" spans="1:13" s="102" customFormat="1" x14ac:dyDescent="0.65">
      <c r="A66" s="108" t="s">
        <v>56</v>
      </c>
      <c r="D66" s="210"/>
      <c r="E66" s="210"/>
      <c r="F66" s="210"/>
      <c r="G66" s="210"/>
      <c r="H66" s="210"/>
      <c r="I66" s="210"/>
      <c r="J66" s="210"/>
      <c r="K66" s="210"/>
      <c r="L66" s="210"/>
    </row>
    <row r="67" spans="1:13" s="46" customFormat="1" ht="14.5" x14ac:dyDescent="0.7">
      <c r="A67" s="45" t="s">
        <v>57</v>
      </c>
      <c r="B67" s="215" t="s">
        <v>58</v>
      </c>
      <c r="C67" s="215"/>
      <c r="D67" s="215"/>
      <c r="E67" s="215"/>
      <c r="F67" s="215"/>
      <c r="G67" s="215"/>
      <c r="H67" s="215" t="s">
        <v>59</v>
      </c>
      <c r="I67" s="215"/>
      <c r="J67" s="215" t="s">
        <v>60</v>
      </c>
      <c r="K67" s="215"/>
      <c r="L67" s="208" t="s">
        <v>61</v>
      </c>
      <c r="M67" s="178"/>
    </row>
    <row r="68" spans="1:13" s="46" customFormat="1" ht="14.45" customHeight="1" x14ac:dyDescent="0.7">
      <c r="A68" s="45" t="s">
        <v>62</v>
      </c>
      <c r="B68" s="199" t="s">
        <v>63</v>
      </c>
      <c r="C68" s="201" t="s">
        <v>64</v>
      </c>
      <c r="D68" s="199" t="s">
        <v>65</v>
      </c>
      <c r="E68" s="199" t="s">
        <v>66</v>
      </c>
      <c r="F68" s="201" t="s">
        <v>67</v>
      </c>
      <c r="G68" s="199" t="s">
        <v>68</v>
      </c>
      <c r="H68" s="199" t="s">
        <v>69</v>
      </c>
      <c r="I68" s="201" t="s">
        <v>70</v>
      </c>
      <c r="J68" s="199" t="s">
        <v>69</v>
      </c>
      <c r="K68" s="201" t="s">
        <v>70</v>
      </c>
      <c r="L68" s="208"/>
      <c r="M68" s="178"/>
    </row>
    <row r="69" spans="1:13" s="46" customFormat="1" ht="14.5" x14ac:dyDescent="0.7">
      <c r="A69" s="47" t="s">
        <v>21</v>
      </c>
      <c r="B69" s="199"/>
      <c r="C69" s="199"/>
      <c r="D69" s="199"/>
      <c r="E69" s="199"/>
      <c r="F69" s="199"/>
      <c r="G69" s="199"/>
      <c r="H69" s="199"/>
      <c r="I69" s="199"/>
      <c r="J69" s="199"/>
      <c r="K69" s="199"/>
      <c r="L69" s="208"/>
      <c r="M69" s="178"/>
    </row>
    <row r="70" spans="1:13" s="86" customFormat="1" ht="14.5" x14ac:dyDescent="0.7">
      <c r="A70" s="84" t="s">
        <v>71</v>
      </c>
      <c r="B70" s="85"/>
      <c r="C70" s="85"/>
      <c r="D70" s="85"/>
      <c r="E70" s="85"/>
      <c r="F70" s="85"/>
      <c r="G70" s="85"/>
      <c r="H70" s="85"/>
      <c r="I70" s="85"/>
      <c r="J70" s="85"/>
      <c r="K70" s="85"/>
      <c r="L70" s="85"/>
    </row>
    <row r="71" spans="1:13" s="46" customFormat="1" x14ac:dyDescent="0.65">
      <c r="A71" s="177" t="s">
        <v>72</v>
      </c>
      <c r="B71" s="177" t="s">
        <v>164</v>
      </c>
      <c r="C71" s="177" t="s">
        <v>164</v>
      </c>
      <c r="D71" s="177" t="s">
        <v>164</v>
      </c>
      <c r="E71" s="177" t="s">
        <v>164</v>
      </c>
      <c r="F71" s="177" t="s">
        <v>164</v>
      </c>
      <c r="G71" s="130" t="s">
        <v>151</v>
      </c>
      <c r="H71" s="130" t="s">
        <v>151</v>
      </c>
      <c r="I71" s="130" t="s">
        <v>151</v>
      </c>
      <c r="J71" s="177" t="s">
        <v>164</v>
      </c>
      <c r="K71" s="130" t="s">
        <v>151</v>
      </c>
      <c r="L71" s="177" t="s">
        <v>165</v>
      </c>
      <c r="M71" s="178"/>
    </row>
    <row r="72" spans="1:13" s="46" customFormat="1" x14ac:dyDescent="0.65">
      <c r="A72" s="177" t="s">
        <v>73</v>
      </c>
      <c r="B72" s="177" t="s">
        <v>164</v>
      </c>
      <c r="C72" s="177" t="s">
        <v>164</v>
      </c>
      <c r="D72" s="177" t="s">
        <v>164</v>
      </c>
      <c r="E72" s="177" t="s">
        <v>164</v>
      </c>
      <c r="F72" s="177" t="s">
        <v>164</v>
      </c>
      <c r="G72" s="130" t="s">
        <v>151</v>
      </c>
      <c r="H72" s="130" t="s">
        <v>151</v>
      </c>
      <c r="I72" s="130" t="s">
        <v>151</v>
      </c>
      <c r="J72" s="177" t="s">
        <v>164</v>
      </c>
      <c r="K72" s="130" t="s">
        <v>151</v>
      </c>
      <c r="L72" s="177" t="s">
        <v>165</v>
      </c>
      <c r="M72" s="178"/>
    </row>
    <row r="73" spans="1:13" s="46" customFormat="1" x14ac:dyDescent="0.65">
      <c r="A73" s="177" t="s">
        <v>74</v>
      </c>
      <c r="B73" s="177" t="s">
        <v>164</v>
      </c>
      <c r="C73" s="177" t="s">
        <v>164</v>
      </c>
      <c r="D73" s="177" t="s">
        <v>164</v>
      </c>
      <c r="E73" s="177" t="s">
        <v>164</v>
      </c>
      <c r="F73" s="130" t="s">
        <v>151</v>
      </c>
      <c r="G73" s="177" t="s">
        <v>164</v>
      </c>
      <c r="H73" s="130" t="s">
        <v>151</v>
      </c>
      <c r="I73" s="177" t="s">
        <v>164</v>
      </c>
      <c r="J73" s="177" t="s">
        <v>164</v>
      </c>
      <c r="K73" s="177" t="s">
        <v>164</v>
      </c>
      <c r="L73" s="177"/>
      <c r="M73" s="178"/>
    </row>
    <row r="74" spans="1:13" s="46" customFormat="1" x14ac:dyDescent="0.65">
      <c r="A74" s="177" t="s">
        <v>75</v>
      </c>
      <c r="B74" s="177" t="s">
        <v>164</v>
      </c>
      <c r="C74" s="177" t="s">
        <v>164</v>
      </c>
      <c r="D74" s="177" t="s">
        <v>164</v>
      </c>
      <c r="E74" s="177" t="s">
        <v>164</v>
      </c>
      <c r="F74" s="130" t="s">
        <v>151</v>
      </c>
      <c r="G74" s="177" t="s">
        <v>164</v>
      </c>
      <c r="H74" s="130" t="s">
        <v>151</v>
      </c>
      <c r="I74" s="177" t="s">
        <v>164</v>
      </c>
      <c r="J74" s="177" t="s">
        <v>164</v>
      </c>
      <c r="K74" s="177" t="s">
        <v>164</v>
      </c>
      <c r="L74" s="177"/>
      <c r="M74" s="178"/>
    </row>
    <row r="75" spans="1:13" s="46" customFormat="1" x14ac:dyDescent="0.65">
      <c r="A75" s="177" t="s">
        <v>76</v>
      </c>
      <c r="B75" s="177" t="s">
        <v>164</v>
      </c>
      <c r="C75" s="177" t="s">
        <v>164</v>
      </c>
      <c r="D75" s="177" t="s">
        <v>164</v>
      </c>
      <c r="E75" s="177" t="s">
        <v>164</v>
      </c>
      <c r="F75" s="130" t="s">
        <v>151</v>
      </c>
      <c r="G75" s="177" t="s">
        <v>164</v>
      </c>
      <c r="H75" s="130" t="s">
        <v>151</v>
      </c>
      <c r="I75" s="177" t="s">
        <v>164</v>
      </c>
      <c r="J75" s="177" t="s">
        <v>164</v>
      </c>
      <c r="K75" s="177" t="s">
        <v>164</v>
      </c>
      <c r="L75" s="177"/>
      <c r="M75" s="178"/>
    </row>
    <row r="76" spans="1:13" s="46" customFormat="1" x14ac:dyDescent="0.65">
      <c r="A76" s="177" t="s">
        <v>77</v>
      </c>
      <c r="B76" s="177" t="s">
        <v>164</v>
      </c>
      <c r="C76" s="177" t="s">
        <v>164</v>
      </c>
      <c r="D76" s="177" t="s">
        <v>164</v>
      </c>
      <c r="E76" s="177" t="s">
        <v>164</v>
      </c>
      <c r="F76" s="130" t="s">
        <v>151</v>
      </c>
      <c r="G76" s="177" t="s">
        <v>164</v>
      </c>
      <c r="H76" s="130" t="s">
        <v>151</v>
      </c>
      <c r="I76" s="177" t="s">
        <v>164</v>
      </c>
      <c r="J76" s="177" t="s">
        <v>164</v>
      </c>
      <c r="K76" s="177" t="s">
        <v>164</v>
      </c>
      <c r="L76" s="177"/>
      <c r="M76" s="178"/>
    </row>
    <row r="77" spans="1:13" s="46" customFormat="1" x14ac:dyDescent="0.65">
      <c r="A77" s="177" t="s">
        <v>78</v>
      </c>
      <c r="B77" s="177" t="s">
        <v>164</v>
      </c>
      <c r="C77" s="177" t="s">
        <v>164</v>
      </c>
      <c r="D77" s="177" t="s">
        <v>164</v>
      </c>
      <c r="E77" s="177" t="s">
        <v>164</v>
      </c>
      <c r="F77" s="177" t="s">
        <v>164</v>
      </c>
      <c r="G77" s="130" t="s">
        <v>151</v>
      </c>
      <c r="H77" s="130" t="s">
        <v>151</v>
      </c>
      <c r="I77" s="130" t="s">
        <v>151</v>
      </c>
      <c r="J77" s="177" t="s">
        <v>164</v>
      </c>
      <c r="K77" s="130" t="s">
        <v>151</v>
      </c>
      <c r="L77" s="177" t="s">
        <v>165</v>
      </c>
      <c r="M77" s="178"/>
    </row>
    <row r="78" spans="1:13" s="46" customFormat="1" ht="28.5" x14ac:dyDescent="0.65">
      <c r="A78" s="177" t="s">
        <v>79</v>
      </c>
      <c r="B78" s="177" t="s">
        <v>164</v>
      </c>
      <c r="C78" s="177" t="s">
        <v>164</v>
      </c>
      <c r="D78" s="177" t="s">
        <v>164</v>
      </c>
      <c r="E78" s="177" t="s">
        <v>164</v>
      </c>
      <c r="F78" s="177" t="s">
        <v>164</v>
      </c>
      <c r="G78" s="130" t="s">
        <v>151</v>
      </c>
      <c r="H78" s="130" t="s">
        <v>151</v>
      </c>
      <c r="I78" s="130" t="s">
        <v>151</v>
      </c>
      <c r="J78" s="177" t="s">
        <v>164</v>
      </c>
      <c r="K78" s="177" t="s">
        <v>164</v>
      </c>
      <c r="L78" s="177" t="s">
        <v>166</v>
      </c>
      <c r="M78" s="178"/>
    </row>
    <row r="79" spans="1:13" s="46" customFormat="1" x14ac:dyDescent="0.65">
      <c r="A79" s="177" t="s">
        <v>80</v>
      </c>
      <c r="B79" s="177" t="s">
        <v>164</v>
      </c>
      <c r="C79" s="177" t="s">
        <v>164</v>
      </c>
      <c r="D79" s="177" t="s">
        <v>164</v>
      </c>
      <c r="E79" s="177" t="s">
        <v>164</v>
      </c>
      <c r="F79" s="177" t="s">
        <v>164</v>
      </c>
      <c r="G79" s="130" t="s">
        <v>151</v>
      </c>
      <c r="H79" s="130" t="s">
        <v>151</v>
      </c>
      <c r="I79" s="130" t="s">
        <v>151</v>
      </c>
      <c r="J79" s="177" t="s">
        <v>164</v>
      </c>
      <c r="K79" s="177" t="s">
        <v>164</v>
      </c>
      <c r="L79" s="177" t="s">
        <v>165</v>
      </c>
      <c r="M79" s="178"/>
    </row>
    <row r="80" spans="1:13" s="46" customFormat="1" x14ac:dyDescent="0.65">
      <c r="A80" s="177" t="s">
        <v>81</v>
      </c>
      <c r="B80" s="177" t="s">
        <v>164</v>
      </c>
      <c r="C80" s="177" t="s">
        <v>164</v>
      </c>
      <c r="D80" s="177" t="s">
        <v>164</v>
      </c>
      <c r="E80" s="177" t="s">
        <v>164</v>
      </c>
      <c r="F80" s="177" t="s">
        <v>164</v>
      </c>
      <c r="G80" s="130" t="s">
        <v>151</v>
      </c>
      <c r="H80" s="130" t="s">
        <v>151</v>
      </c>
      <c r="I80" s="130" t="s">
        <v>151</v>
      </c>
      <c r="J80" s="177" t="s">
        <v>164</v>
      </c>
      <c r="K80" s="177" t="s">
        <v>164</v>
      </c>
      <c r="L80" s="177" t="s">
        <v>165</v>
      </c>
      <c r="M80" s="178"/>
    </row>
    <row r="81" spans="1:12" s="46" customFormat="1" x14ac:dyDescent="0.65">
      <c r="A81" s="177" t="s">
        <v>82</v>
      </c>
      <c r="B81" s="177" t="s">
        <v>164</v>
      </c>
      <c r="C81" s="177" t="s">
        <v>164</v>
      </c>
      <c r="D81" s="177" t="s">
        <v>164</v>
      </c>
      <c r="E81" s="177" t="s">
        <v>164</v>
      </c>
      <c r="F81" s="177" t="s">
        <v>164</v>
      </c>
      <c r="G81" s="130" t="s">
        <v>151</v>
      </c>
      <c r="H81" s="130" t="s">
        <v>151</v>
      </c>
      <c r="I81" s="130" t="s">
        <v>151</v>
      </c>
      <c r="J81" s="177" t="s">
        <v>164</v>
      </c>
      <c r="K81" s="177" t="s">
        <v>164</v>
      </c>
      <c r="L81" s="177" t="s">
        <v>165</v>
      </c>
    </row>
    <row r="82" spans="1:12" s="46" customFormat="1" x14ac:dyDescent="0.65">
      <c r="A82" s="177" t="s">
        <v>83</v>
      </c>
      <c r="B82" s="177" t="s">
        <v>164</v>
      </c>
      <c r="C82" s="177" t="s">
        <v>164</v>
      </c>
      <c r="D82" s="177" t="s">
        <v>164</v>
      </c>
      <c r="E82" s="130" t="s">
        <v>151</v>
      </c>
      <c r="F82" s="177" t="s">
        <v>164</v>
      </c>
      <c r="G82" s="177" t="s">
        <v>164</v>
      </c>
      <c r="H82" s="130" t="s">
        <v>151</v>
      </c>
      <c r="I82" s="130" t="s">
        <v>151</v>
      </c>
      <c r="J82" s="177" t="s">
        <v>164</v>
      </c>
      <c r="K82" s="130" t="s">
        <v>151</v>
      </c>
      <c r="L82" s="177"/>
    </row>
    <row r="83" spans="1:12" s="46" customFormat="1" x14ac:dyDescent="0.65">
      <c r="A83" s="177" t="s">
        <v>84</v>
      </c>
      <c r="B83" s="177" t="s">
        <v>164</v>
      </c>
      <c r="C83" s="177" t="s">
        <v>164</v>
      </c>
      <c r="D83" s="177" t="s">
        <v>164</v>
      </c>
      <c r="E83" s="130" t="s">
        <v>151</v>
      </c>
      <c r="F83" s="177" t="s">
        <v>164</v>
      </c>
      <c r="G83" s="177" t="s">
        <v>164</v>
      </c>
      <c r="H83" s="130" t="s">
        <v>151</v>
      </c>
      <c r="I83" s="130" t="s">
        <v>151</v>
      </c>
      <c r="J83" s="177" t="s">
        <v>164</v>
      </c>
      <c r="K83" s="130" t="s">
        <v>151</v>
      </c>
      <c r="L83" s="177"/>
    </row>
    <row r="84" spans="1:12" s="46" customFormat="1" x14ac:dyDescent="0.65">
      <c r="A84" s="177" t="s">
        <v>85</v>
      </c>
      <c r="B84" s="177" t="s">
        <v>164</v>
      </c>
      <c r="C84" s="177" t="s">
        <v>164</v>
      </c>
      <c r="D84" s="177" t="s">
        <v>164</v>
      </c>
      <c r="E84" s="130" t="s">
        <v>151</v>
      </c>
      <c r="F84" s="177" t="s">
        <v>164</v>
      </c>
      <c r="G84" s="177" t="s">
        <v>164</v>
      </c>
      <c r="H84" s="130" t="s">
        <v>151</v>
      </c>
      <c r="I84" s="130" t="s">
        <v>151</v>
      </c>
      <c r="J84" s="177" t="s">
        <v>164</v>
      </c>
      <c r="K84" s="130" t="s">
        <v>151</v>
      </c>
      <c r="L84" s="177"/>
    </row>
    <row r="85" spans="1:12" s="46" customFormat="1" x14ac:dyDescent="0.65">
      <c r="A85" s="177" t="s">
        <v>86</v>
      </c>
      <c r="B85" s="177" t="s">
        <v>164</v>
      </c>
      <c r="C85" s="177" t="s">
        <v>164</v>
      </c>
      <c r="D85" s="177" t="s">
        <v>164</v>
      </c>
      <c r="E85" s="130" t="s">
        <v>151</v>
      </c>
      <c r="F85" s="177" t="s">
        <v>164</v>
      </c>
      <c r="G85" s="177" t="s">
        <v>164</v>
      </c>
      <c r="H85" s="130" t="s">
        <v>151</v>
      </c>
      <c r="I85" s="130" t="s">
        <v>151</v>
      </c>
      <c r="J85" s="177" t="s">
        <v>164</v>
      </c>
      <c r="K85" s="130" t="s">
        <v>151</v>
      </c>
      <c r="L85" s="177"/>
    </row>
    <row r="86" spans="1:12" s="46" customFormat="1" ht="28.5" x14ac:dyDescent="0.65">
      <c r="A86" s="177" t="s">
        <v>87</v>
      </c>
      <c r="B86" s="177" t="s">
        <v>164</v>
      </c>
      <c r="C86" s="177" t="s">
        <v>164</v>
      </c>
      <c r="D86" s="177" t="s">
        <v>164</v>
      </c>
      <c r="E86" s="177" t="s">
        <v>164</v>
      </c>
      <c r="F86" s="177" t="s">
        <v>164</v>
      </c>
      <c r="G86" s="177" t="s">
        <v>164</v>
      </c>
      <c r="H86" s="177" t="s">
        <v>164</v>
      </c>
      <c r="I86" s="177" t="s">
        <v>164</v>
      </c>
      <c r="J86" s="177" t="s">
        <v>164</v>
      </c>
      <c r="K86" s="177" t="s">
        <v>164</v>
      </c>
      <c r="L86" s="177"/>
    </row>
    <row r="87" spans="1:12" s="46" customFormat="1" ht="28.5" x14ac:dyDescent="0.65">
      <c r="A87" s="135" t="s">
        <v>88</v>
      </c>
      <c r="B87" s="177" t="s">
        <v>164</v>
      </c>
      <c r="C87" s="177" t="s">
        <v>164</v>
      </c>
      <c r="D87" s="177" t="s">
        <v>164</v>
      </c>
      <c r="E87" s="177" t="s">
        <v>164</v>
      </c>
      <c r="F87" s="177" t="s">
        <v>164</v>
      </c>
      <c r="G87" s="177" t="s">
        <v>164</v>
      </c>
      <c r="H87" s="177" t="s">
        <v>164</v>
      </c>
      <c r="I87" s="177" t="s">
        <v>164</v>
      </c>
      <c r="J87" s="131" t="s">
        <v>167</v>
      </c>
      <c r="K87" s="177" t="s">
        <v>164</v>
      </c>
      <c r="L87" s="177" t="s">
        <v>168</v>
      </c>
    </row>
    <row r="88" spans="1:12" s="46" customFormat="1" ht="28.5" x14ac:dyDescent="0.65">
      <c r="A88" s="135" t="s">
        <v>89</v>
      </c>
      <c r="B88" s="177" t="s">
        <v>164</v>
      </c>
      <c r="C88" s="177" t="s">
        <v>164</v>
      </c>
      <c r="D88" s="177" t="s">
        <v>164</v>
      </c>
      <c r="E88" s="177" t="s">
        <v>164</v>
      </c>
      <c r="F88" s="177" t="s">
        <v>164</v>
      </c>
      <c r="G88" s="177" t="s">
        <v>164</v>
      </c>
      <c r="H88" s="177" t="s">
        <v>164</v>
      </c>
      <c r="I88" s="177" t="s">
        <v>164</v>
      </c>
      <c r="J88" s="177" t="s">
        <v>164</v>
      </c>
      <c r="K88" s="177" t="s">
        <v>164</v>
      </c>
      <c r="L88" s="177"/>
    </row>
    <row r="89" spans="1:12" s="46" customFormat="1" x14ac:dyDescent="0.65">
      <c r="A89" s="135" t="s">
        <v>90</v>
      </c>
      <c r="B89" s="177" t="s">
        <v>164</v>
      </c>
      <c r="C89" s="177" t="s">
        <v>164</v>
      </c>
      <c r="D89" s="177" t="s">
        <v>164</v>
      </c>
      <c r="E89" s="177" t="s">
        <v>151</v>
      </c>
      <c r="F89" s="177" t="s">
        <v>164</v>
      </c>
      <c r="G89" s="177" t="s">
        <v>164</v>
      </c>
      <c r="H89" s="177" t="s">
        <v>164</v>
      </c>
      <c r="I89" s="177" t="s">
        <v>164</v>
      </c>
      <c r="J89" s="177" t="s">
        <v>164</v>
      </c>
      <c r="K89" s="177" t="s">
        <v>164</v>
      </c>
      <c r="L89" s="177"/>
    </row>
    <row r="90" spans="1:12" s="46" customFormat="1" x14ac:dyDescent="0.65">
      <c r="A90" s="135" t="s">
        <v>91</v>
      </c>
      <c r="B90" s="177" t="s">
        <v>164</v>
      </c>
      <c r="C90" s="177" t="s">
        <v>164</v>
      </c>
      <c r="D90" s="177" t="s">
        <v>164</v>
      </c>
      <c r="E90" s="177" t="s">
        <v>151</v>
      </c>
      <c r="F90" s="177" t="s">
        <v>164</v>
      </c>
      <c r="G90" s="177" t="s">
        <v>164</v>
      </c>
      <c r="H90" s="177" t="s">
        <v>164</v>
      </c>
      <c r="I90" s="177" t="s">
        <v>164</v>
      </c>
      <c r="J90" s="177" t="s">
        <v>164</v>
      </c>
      <c r="K90" s="177" t="s">
        <v>164</v>
      </c>
      <c r="L90" s="177"/>
    </row>
    <row r="91" spans="1:12" s="46" customFormat="1" x14ac:dyDescent="0.65">
      <c r="A91" s="135" t="s">
        <v>92</v>
      </c>
      <c r="B91" s="177" t="s">
        <v>164</v>
      </c>
      <c r="C91" s="177" t="s">
        <v>164</v>
      </c>
      <c r="D91" s="177" t="s">
        <v>164</v>
      </c>
      <c r="E91" s="177" t="s">
        <v>151</v>
      </c>
      <c r="F91" s="177" t="s">
        <v>164</v>
      </c>
      <c r="G91" s="177" t="s">
        <v>164</v>
      </c>
      <c r="H91" s="177" t="s">
        <v>164</v>
      </c>
      <c r="I91" s="177" t="s">
        <v>164</v>
      </c>
      <c r="J91" s="177" t="s">
        <v>164</v>
      </c>
      <c r="K91" s="177" t="s">
        <v>164</v>
      </c>
      <c r="L91" s="177"/>
    </row>
    <row r="92" spans="1:12" s="46" customFormat="1" x14ac:dyDescent="0.65">
      <c r="A92" s="135" t="s">
        <v>93</v>
      </c>
      <c r="B92" s="177" t="s">
        <v>164</v>
      </c>
      <c r="C92" s="177" t="s">
        <v>164</v>
      </c>
      <c r="D92" s="177" t="s">
        <v>164</v>
      </c>
      <c r="E92" s="177" t="s">
        <v>151</v>
      </c>
      <c r="F92" s="177" t="s">
        <v>164</v>
      </c>
      <c r="G92" s="177" t="s">
        <v>164</v>
      </c>
      <c r="H92" s="177" t="s">
        <v>164</v>
      </c>
      <c r="I92" s="177" t="s">
        <v>164</v>
      </c>
      <c r="J92" s="177" t="s">
        <v>164</v>
      </c>
      <c r="K92" s="177" t="s">
        <v>164</v>
      </c>
      <c r="L92" s="177"/>
    </row>
    <row r="93" spans="1:12" s="50" customFormat="1" ht="14.5" x14ac:dyDescent="0.65">
      <c r="A93" s="149" t="s">
        <v>94</v>
      </c>
      <c r="B93" s="150"/>
      <c r="C93" s="150"/>
      <c r="D93" s="150"/>
      <c r="E93" s="150"/>
      <c r="F93" s="150"/>
      <c r="G93" s="150"/>
      <c r="H93" s="150"/>
      <c r="I93" s="150"/>
      <c r="J93" s="150"/>
      <c r="K93" s="150"/>
      <c r="L93" s="150"/>
    </row>
    <row r="94" spans="1:12" s="46" customFormat="1" x14ac:dyDescent="0.65">
      <c r="A94" s="177" t="s">
        <v>95</v>
      </c>
      <c r="B94" s="177" t="s">
        <v>164</v>
      </c>
      <c r="C94" s="177" t="s">
        <v>164</v>
      </c>
      <c r="D94" s="177" t="s">
        <v>164</v>
      </c>
      <c r="E94" s="177" t="s">
        <v>164</v>
      </c>
      <c r="F94" s="177" t="s">
        <v>164</v>
      </c>
      <c r="G94" s="130" t="s">
        <v>151</v>
      </c>
      <c r="H94" s="177" t="s">
        <v>164</v>
      </c>
      <c r="I94" s="177" t="s">
        <v>164</v>
      </c>
      <c r="J94" s="177" t="s">
        <v>164</v>
      </c>
      <c r="K94" s="177" t="s">
        <v>164</v>
      </c>
      <c r="L94" s="177" t="s">
        <v>169</v>
      </c>
    </row>
    <row r="95" spans="1:12" s="46" customFormat="1" x14ac:dyDescent="0.65">
      <c r="A95" s="177" t="s">
        <v>96</v>
      </c>
      <c r="B95" s="130" t="s">
        <v>151</v>
      </c>
      <c r="C95" s="177" t="s">
        <v>164</v>
      </c>
      <c r="D95" s="177" t="s">
        <v>164</v>
      </c>
      <c r="E95" s="177" t="s">
        <v>164</v>
      </c>
      <c r="F95" s="177" t="s">
        <v>164</v>
      </c>
      <c r="G95" s="177" t="s">
        <v>164</v>
      </c>
      <c r="H95" s="177" t="s">
        <v>164</v>
      </c>
      <c r="I95" s="177" t="s">
        <v>164</v>
      </c>
      <c r="J95" s="177" t="s">
        <v>164</v>
      </c>
      <c r="K95" s="177" t="s">
        <v>164</v>
      </c>
      <c r="L95" s="177"/>
    </row>
    <row r="96" spans="1:12" s="46" customFormat="1" x14ac:dyDescent="0.65">
      <c r="A96" s="177" t="s">
        <v>97</v>
      </c>
      <c r="B96" s="130" t="s">
        <v>151</v>
      </c>
      <c r="C96" s="177" t="s">
        <v>164</v>
      </c>
      <c r="D96" s="177" t="s">
        <v>164</v>
      </c>
      <c r="E96" s="177" t="s">
        <v>164</v>
      </c>
      <c r="F96" s="177" t="s">
        <v>164</v>
      </c>
      <c r="G96" s="177" t="s">
        <v>164</v>
      </c>
      <c r="H96" s="177" t="s">
        <v>164</v>
      </c>
      <c r="I96" s="177" t="s">
        <v>164</v>
      </c>
      <c r="J96" s="177" t="s">
        <v>164</v>
      </c>
      <c r="K96" s="177" t="s">
        <v>164</v>
      </c>
      <c r="L96" s="177" t="s">
        <v>170</v>
      </c>
    </row>
    <row r="97" spans="1:12" s="46" customFormat="1" ht="33.65" customHeight="1" x14ac:dyDescent="0.65">
      <c r="A97" s="177" t="s">
        <v>98</v>
      </c>
      <c r="B97" s="130" t="s">
        <v>151</v>
      </c>
      <c r="C97" s="177" t="s">
        <v>164</v>
      </c>
      <c r="D97" s="177" t="s">
        <v>164</v>
      </c>
      <c r="E97" s="177" t="s">
        <v>164</v>
      </c>
      <c r="F97" s="177" t="s">
        <v>164</v>
      </c>
      <c r="G97" s="177" t="s">
        <v>164</v>
      </c>
      <c r="H97" s="177" t="s">
        <v>164</v>
      </c>
      <c r="I97" s="177" t="s">
        <v>164</v>
      </c>
      <c r="J97" s="177" t="s">
        <v>164</v>
      </c>
      <c r="K97" s="177" t="s">
        <v>164</v>
      </c>
      <c r="L97" s="177" t="s">
        <v>170</v>
      </c>
    </row>
    <row r="98" spans="1:12" s="46" customFormat="1" x14ac:dyDescent="0.65">
      <c r="A98" s="177" t="s">
        <v>99</v>
      </c>
      <c r="B98" s="177" t="s">
        <v>164</v>
      </c>
      <c r="C98" s="177" t="s">
        <v>164</v>
      </c>
      <c r="D98" s="177" t="s">
        <v>164</v>
      </c>
      <c r="E98" s="177" t="s">
        <v>164</v>
      </c>
      <c r="F98" s="177" t="s">
        <v>164</v>
      </c>
      <c r="G98" s="177" t="s">
        <v>164</v>
      </c>
      <c r="H98" s="177" t="s">
        <v>164</v>
      </c>
      <c r="I98" s="177" t="s">
        <v>164</v>
      </c>
      <c r="J98" s="177" t="s">
        <v>164</v>
      </c>
      <c r="K98" s="177" t="s">
        <v>164</v>
      </c>
      <c r="L98" s="177"/>
    </row>
    <row r="99" spans="1:12" s="46" customFormat="1" ht="28.5" x14ac:dyDescent="0.65">
      <c r="A99" s="177" t="s">
        <v>100</v>
      </c>
      <c r="B99" s="177" t="s">
        <v>164</v>
      </c>
      <c r="C99" s="177" t="s">
        <v>164</v>
      </c>
      <c r="D99" s="177" t="s">
        <v>164</v>
      </c>
      <c r="E99" s="177" t="s">
        <v>164</v>
      </c>
      <c r="F99" s="177" t="s">
        <v>164</v>
      </c>
      <c r="G99" s="177" t="s">
        <v>164</v>
      </c>
      <c r="H99" s="177" t="s">
        <v>164</v>
      </c>
      <c r="I99" s="177" t="s">
        <v>164</v>
      </c>
      <c r="J99" s="177" t="s">
        <v>164</v>
      </c>
      <c r="K99" s="177" t="s">
        <v>164</v>
      </c>
      <c r="L99" s="177"/>
    </row>
    <row r="100" spans="1:12" s="46" customFormat="1" ht="28.5" x14ac:dyDescent="0.65">
      <c r="A100" s="177" t="s">
        <v>101</v>
      </c>
      <c r="B100" s="177" t="s">
        <v>164</v>
      </c>
      <c r="C100" s="177" t="s">
        <v>164</v>
      </c>
      <c r="D100" s="177" t="s">
        <v>164</v>
      </c>
      <c r="E100" s="177" t="s">
        <v>164</v>
      </c>
      <c r="F100" s="177" t="s">
        <v>164</v>
      </c>
      <c r="G100" s="177" t="s">
        <v>164</v>
      </c>
      <c r="H100" s="177" t="s">
        <v>164</v>
      </c>
      <c r="I100" s="177" t="s">
        <v>164</v>
      </c>
      <c r="J100" s="177" t="s">
        <v>164</v>
      </c>
      <c r="K100" s="177" t="s">
        <v>164</v>
      </c>
      <c r="L100" s="177"/>
    </row>
    <row r="101" spans="1:12" s="46" customFormat="1" ht="42.75" x14ac:dyDescent="0.65">
      <c r="A101" s="177" t="s">
        <v>102</v>
      </c>
      <c r="B101" s="177" t="s">
        <v>164</v>
      </c>
      <c r="C101" s="132" t="s">
        <v>171</v>
      </c>
      <c r="D101" s="132" t="s">
        <v>171</v>
      </c>
      <c r="E101" s="132" t="s">
        <v>171</v>
      </c>
      <c r="F101" s="177" t="s">
        <v>164</v>
      </c>
      <c r="G101" s="177" t="s">
        <v>164</v>
      </c>
      <c r="H101" s="132" t="s">
        <v>171</v>
      </c>
      <c r="I101" s="132" t="s">
        <v>171</v>
      </c>
      <c r="J101" s="177" t="s">
        <v>164</v>
      </c>
      <c r="K101" s="177" t="s">
        <v>164</v>
      </c>
      <c r="L101" s="177" t="s">
        <v>172</v>
      </c>
    </row>
    <row r="102" spans="1:12" s="46" customFormat="1" x14ac:dyDescent="0.65">
      <c r="A102" s="177" t="s">
        <v>103</v>
      </c>
      <c r="B102" s="177" t="s">
        <v>164</v>
      </c>
      <c r="C102" s="177" t="s">
        <v>164</v>
      </c>
      <c r="D102" s="177" t="s">
        <v>164</v>
      </c>
      <c r="E102" s="177" t="s">
        <v>164</v>
      </c>
      <c r="F102" s="177" t="s">
        <v>164</v>
      </c>
      <c r="G102" s="177" t="s">
        <v>164</v>
      </c>
      <c r="H102" s="177" t="s">
        <v>164</v>
      </c>
      <c r="I102" s="177" t="s">
        <v>164</v>
      </c>
      <c r="J102" s="177" t="s">
        <v>164</v>
      </c>
      <c r="K102" s="177" t="s">
        <v>164</v>
      </c>
      <c r="L102" s="177"/>
    </row>
    <row r="103" spans="1:12" s="46" customFormat="1" ht="42.75" x14ac:dyDescent="0.65">
      <c r="A103" s="177" t="s">
        <v>104</v>
      </c>
      <c r="B103" s="177" t="s">
        <v>164</v>
      </c>
      <c r="C103" s="132" t="s">
        <v>171</v>
      </c>
      <c r="D103" s="132" t="s">
        <v>171</v>
      </c>
      <c r="E103" s="132" t="s">
        <v>171</v>
      </c>
      <c r="F103" s="177" t="s">
        <v>164</v>
      </c>
      <c r="G103" s="177" t="s">
        <v>164</v>
      </c>
      <c r="H103" s="132" t="s">
        <v>171</v>
      </c>
      <c r="I103" s="132" t="s">
        <v>171</v>
      </c>
      <c r="J103" s="177" t="s">
        <v>164</v>
      </c>
      <c r="K103" s="177" t="s">
        <v>164</v>
      </c>
      <c r="L103" s="177" t="s">
        <v>172</v>
      </c>
    </row>
    <row r="104" spans="1:12" s="50" customFormat="1" ht="14.5" x14ac:dyDescent="0.65">
      <c r="A104" s="149" t="s">
        <v>105</v>
      </c>
      <c r="B104" s="150"/>
      <c r="C104" s="150"/>
      <c r="D104" s="150"/>
      <c r="E104" s="150"/>
      <c r="F104" s="150"/>
      <c r="G104" s="150"/>
      <c r="H104" s="150"/>
      <c r="I104" s="150"/>
      <c r="J104" s="150"/>
      <c r="K104" s="150"/>
      <c r="L104" s="150"/>
    </row>
    <row r="105" spans="1:12" s="46" customFormat="1" x14ac:dyDescent="0.65">
      <c r="A105" s="177" t="s">
        <v>106</v>
      </c>
      <c r="B105" s="177" t="s">
        <v>164</v>
      </c>
      <c r="C105" s="177" t="s">
        <v>164</v>
      </c>
      <c r="D105" s="130" t="s">
        <v>151</v>
      </c>
      <c r="E105" s="130" t="s">
        <v>151</v>
      </c>
      <c r="F105" s="177" t="s">
        <v>164</v>
      </c>
      <c r="G105" s="177" t="s">
        <v>164</v>
      </c>
      <c r="H105" s="130" t="s">
        <v>151</v>
      </c>
      <c r="I105" s="130" t="s">
        <v>151</v>
      </c>
      <c r="J105" s="177" t="s">
        <v>164</v>
      </c>
      <c r="K105" s="177" t="s">
        <v>164</v>
      </c>
      <c r="L105" s="177"/>
    </row>
    <row r="106" spans="1:12" s="46" customFormat="1" x14ac:dyDescent="0.65">
      <c r="A106" s="177" t="s">
        <v>107</v>
      </c>
      <c r="B106" s="177" t="s">
        <v>164</v>
      </c>
      <c r="C106" s="177" t="s">
        <v>164</v>
      </c>
      <c r="D106" s="177" t="s">
        <v>164</v>
      </c>
      <c r="E106" s="177" t="s">
        <v>164</v>
      </c>
      <c r="F106" s="177" t="s">
        <v>164</v>
      </c>
      <c r="G106" s="177" t="s">
        <v>164</v>
      </c>
      <c r="H106" s="177" t="s">
        <v>164</v>
      </c>
      <c r="I106" s="177" t="s">
        <v>164</v>
      </c>
      <c r="J106" s="177" t="s">
        <v>164</v>
      </c>
      <c r="K106" s="177" t="s">
        <v>164</v>
      </c>
      <c r="L106" s="177"/>
    </row>
    <row r="107" spans="1:12" s="46" customFormat="1" x14ac:dyDescent="0.65">
      <c r="A107" s="177" t="s">
        <v>108</v>
      </c>
      <c r="B107" s="177" t="s">
        <v>164</v>
      </c>
      <c r="C107" s="177" t="s">
        <v>164</v>
      </c>
      <c r="D107" s="177" t="s">
        <v>164</v>
      </c>
      <c r="E107" s="177" t="s">
        <v>164</v>
      </c>
      <c r="F107" s="177" t="s">
        <v>164</v>
      </c>
      <c r="G107" s="177" t="s">
        <v>164</v>
      </c>
      <c r="H107" s="177" t="s">
        <v>164</v>
      </c>
      <c r="I107" s="177" t="s">
        <v>164</v>
      </c>
      <c r="J107" s="177" t="s">
        <v>164</v>
      </c>
      <c r="K107" s="177" t="s">
        <v>164</v>
      </c>
      <c r="L107" s="177"/>
    </row>
    <row r="108" spans="1:12" s="46" customFormat="1" x14ac:dyDescent="0.65">
      <c r="A108" s="177" t="s">
        <v>109</v>
      </c>
      <c r="B108" s="177" t="s">
        <v>164</v>
      </c>
      <c r="C108" s="177" t="s">
        <v>164</v>
      </c>
      <c r="D108" s="177" t="s">
        <v>164</v>
      </c>
      <c r="E108" s="177" t="s">
        <v>164</v>
      </c>
      <c r="F108" s="177" t="s">
        <v>164</v>
      </c>
      <c r="G108" s="130" t="s">
        <v>151</v>
      </c>
      <c r="H108" s="177" t="s">
        <v>164</v>
      </c>
      <c r="I108" s="177" t="s">
        <v>164</v>
      </c>
      <c r="J108" s="177" t="s">
        <v>164</v>
      </c>
      <c r="K108" s="130" t="s">
        <v>151</v>
      </c>
      <c r="L108" s="177" t="s">
        <v>169</v>
      </c>
    </row>
    <row r="109" spans="1:12" s="46" customFormat="1" x14ac:dyDescent="0.65">
      <c r="A109" s="177" t="s">
        <v>110</v>
      </c>
      <c r="B109" s="177" t="s">
        <v>164</v>
      </c>
      <c r="C109" s="177" t="s">
        <v>164</v>
      </c>
      <c r="D109" s="177" t="s">
        <v>164</v>
      </c>
      <c r="E109" s="177" t="s">
        <v>164</v>
      </c>
      <c r="F109" s="177" t="s">
        <v>164</v>
      </c>
      <c r="G109" s="177" t="s">
        <v>164</v>
      </c>
      <c r="H109" s="177" t="s">
        <v>164</v>
      </c>
      <c r="I109" s="177" t="s">
        <v>164</v>
      </c>
      <c r="J109" s="177" t="s">
        <v>164</v>
      </c>
      <c r="K109" s="177" t="s">
        <v>164</v>
      </c>
      <c r="L109" s="177"/>
    </row>
    <row r="110" spans="1:12" s="46" customFormat="1" x14ac:dyDescent="0.65">
      <c r="A110" s="177" t="s">
        <v>111</v>
      </c>
      <c r="B110" s="177" t="s">
        <v>164</v>
      </c>
      <c r="C110" s="177" t="s">
        <v>164</v>
      </c>
      <c r="D110" s="177" t="s">
        <v>164</v>
      </c>
      <c r="E110" s="177" t="s">
        <v>164</v>
      </c>
      <c r="F110" s="177" t="s">
        <v>164</v>
      </c>
      <c r="G110" s="177" t="s">
        <v>164</v>
      </c>
      <c r="H110" s="177" t="s">
        <v>164</v>
      </c>
      <c r="I110" s="177" t="s">
        <v>164</v>
      </c>
      <c r="J110" s="177" t="s">
        <v>164</v>
      </c>
      <c r="K110" s="177" t="s">
        <v>164</v>
      </c>
      <c r="L110" s="177"/>
    </row>
    <row r="111" spans="1:12" s="46" customFormat="1" x14ac:dyDescent="0.65">
      <c r="A111" s="137" t="s">
        <v>112</v>
      </c>
      <c r="B111" s="177" t="s">
        <v>164</v>
      </c>
      <c r="C111" s="177" t="s">
        <v>164</v>
      </c>
      <c r="D111" s="177" t="s">
        <v>164</v>
      </c>
      <c r="E111" s="177" t="s">
        <v>164</v>
      </c>
      <c r="F111" s="177" t="s">
        <v>164</v>
      </c>
      <c r="G111" s="130" t="s">
        <v>151</v>
      </c>
      <c r="H111" s="177" t="s">
        <v>164</v>
      </c>
      <c r="I111" s="177" t="s">
        <v>164</v>
      </c>
      <c r="J111" s="177" t="s">
        <v>164</v>
      </c>
      <c r="K111" s="130" t="s">
        <v>151</v>
      </c>
      <c r="L111" s="177" t="s">
        <v>169</v>
      </c>
    </row>
    <row r="112" spans="1:12" s="46" customFormat="1" x14ac:dyDescent="0.65">
      <c r="A112" s="137" t="s">
        <v>113</v>
      </c>
      <c r="B112" s="177" t="s">
        <v>164</v>
      </c>
      <c r="C112" s="177" t="s">
        <v>164</v>
      </c>
      <c r="D112" s="177" t="s">
        <v>164</v>
      </c>
      <c r="E112" s="177" t="s">
        <v>164</v>
      </c>
      <c r="F112" s="177" t="s">
        <v>164</v>
      </c>
      <c r="G112" s="177" t="s">
        <v>164</v>
      </c>
      <c r="H112" s="177" t="s">
        <v>164</v>
      </c>
      <c r="I112" s="177" t="s">
        <v>164</v>
      </c>
      <c r="J112" s="177" t="s">
        <v>164</v>
      </c>
      <c r="K112" s="177" t="s">
        <v>164</v>
      </c>
      <c r="L112" s="177"/>
    </row>
    <row r="113" spans="1:12" s="46" customFormat="1" x14ac:dyDescent="0.65">
      <c r="A113" s="137" t="s">
        <v>114</v>
      </c>
      <c r="B113" s="177" t="s">
        <v>164</v>
      </c>
      <c r="C113" s="177" t="s">
        <v>164</v>
      </c>
      <c r="D113" s="177" t="s">
        <v>164</v>
      </c>
      <c r="E113" s="177" t="s">
        <v>164</v>
      </c>
      <c r="F113" s="177" t="s">
        <v>164</v>
      </c>
      <c r="G113" s="130" t="s">
        <v>151</v>
      </c>
      <c r="H113" s="177" t="s">
        <v>164</v>
      </c>
      <c r="I113" s="177" t="s">
        <v>164</v>
      </c>
      <c r="J113" s="177" t="s">
        <v>164</v>
      </c>
      <c r="K113" s="130" t="s">
        <v>151</v>
      </c>
      <c r="L113" s="177" t="s">
        <v>169</v>
      </c>
    </row>
    <row r="114" spans="1:12" s="46" customFormat="1" x14ac:dyDescent="0.65">
      <c r="A114" s="137" t="s">
        <v>115</v>
      </c>
      <c r="B114" s="177" t="s">
        <v>164</v>
      </c>
      <c r="C114" s="177" t="s">
        <v>164</v>
      </c>
      <c r="D114" s="177" t="s">
        <v>164</v>
      </c>
      <c r="E114" s="177" t="s">
        <v>164</v>
      </c>
      <c r="F114" s="177" t="s">
        <v>164</v>
      </c>
      <c r="G114" s="177" t="s">
        <v>164</v>
      </c>
      <c r="H114" s="177" t="s">
        <v>164</v>
      </c>
      <c r="I114" s="177" t="s">
        <v>164</v>
      </c>
      <c r="J114" s="177" t="s">
        <v>164</v>
      </c>
      <c r="K114" s="177" t="s">
        <v>164</v>
      </c>
      <c r="L114" s="177"/>
    </row>
    <row r="115" spans="1:12" s="46" customFormat="1" x14ac:dyDescent="0.65">
      <c r="A115" s="137" t="s">
        <v>116</v>
      </c>
      <c r="B115" s="177" t="s">
        <v>164</v>
      </c>
      <c r="C115" s="177" t="s">
        <v>164</v>
      </c>
      <c r="D115" s="177" t="s">
        <v>164</v>
      </c>
      <c r="E115" s="177" t="s">
        <v>164</v>
      </c>
      <c r="F115" s="177" t="s">
        <v>164</v>
      </c>
      <c r="G115" s="177" t="s">
        <v>164</v>
      </c>
      <c r="H115" s="177" t="s">
        <v>164</v>
      </c>
      <c r="I115" s="177" t="s">
        <v>164</v>
      </c>
      <c r="J115" s="177" t="s">
        <v>164</v>
      </c>
      <c r="K115" s="177" t="s">
        <v>164</v>
      </c>
      <c r="L115" s="177"/>
    </row>
    <row r="116" spans="1:12" s="46" customFormat="1" ht="57" x14ac:dyDescent="0.65">
      <c r="A116" s="118" t="s">
        <v>117</v>
      </c>
      <c r="B116" s="177" t="s">
        <v>164</v>
      </c>
      <c r="C116" s="177" t="s">
        <v>164</v>
      </c>
      <c r="D116" s="130" t="s">
        <v>151</v>
      </c>
      <c r="E116" s="130" t="s">
        <v>151</v>
      </c>
      <c r="F116" s="177" t="s">
        <v>164</v>
      </c>
      <c r="G116" s="177" t="s">
        <v>164</v>
      </c>
      <c r="H116" s="130" t="s">
        <v>151</v>
      </c>
      <c r="I116" s="130" t="s">
        <v>151</v>
      </c>
      <c r="J116" s="177" t="s">
        <v>164</v>
      </c>
      <c r="K116" s="177" t="s">
        <v>164</v>
      </c>
      <c r="L116" s="177" t="s">
        <v>173</v>
      </c>
    </row>
    <row r="117" spans="1:12" s="46" customFormat="1" x14ac:dyDescent="0.65">
      <c r="A117" s="118" t="s">
        <v>118</v>
      </c>
      <c r="B117" s="177" t="s">
        <v>164</v>
      </c>
      <c r="C117" s="177" t="s">
        <v>164</v>
      </c>
      <c r="D117" s="130" t="s">
        <v>151</v>
      </c>
      <c r="E117" s="130" t="s">
        <v>151</v>
      </c>
      <c r="F117" s="177" t="s">
        <v>164</v>
      </c>
      <c r="G117" s="177" t="s">
        <v>164</v>
      </c>
      <c r="H117" s="130" t="s">
        <v>151</v>
      </c>
      <c r="I117" s="130" t="s">
        <v>151</v>
      </c>
      <c r="J117" s="177" t="s">
        <v>164</v>
      </c>
      <c r="K117" s="177" t="s">
        <v>164</v>
      </c>
      <c r="L117" s="177" t="s">
        <v>170</v>
      </c>
    </row>
    <row r="118" spans="1:12" s="46" customFormat="1" x14ac:dyDescent="0.65">
      <c r="A118" s="118" t="s">
        <v>119</v>
      </c>
      <c r="B118" s="177" t="s">
        <v>164</v>
      </c>
      <c r="C118" s="177" t="s">
        <v>164</v>
      </c>
      <c r="D118" s="130" t="s">
        <v>151</v>
      </c>
      <c r="E118" s="130" t="s">
        <v>151</v>
      </c>
      <c r="F118" s="177" t="s">
        <v>164</v>
      </c>
      <c r="G118" s="177" t="s">
        <v>164</v>
      </c>
      <c r="H118" s="130" t="s">
        <v>151</v>
      </c>
      <c r="I118" s="130" t="s">
        <v>151</v>
      </c>
      <c r="J118" s="177" t="s">
        <v>164</v>
      </c>
      <c r="K118" s="177" t="s">
        <v>164</v>
      </c>
      <c r="L118" s="177" t="s">
        <v>170</v>
      </c>
    </row>
    <row r="119" spans="1:12" s="46" customFormat="1" x14ac:dyDescent="0.65">
      <c r="A119" s="138" t="s">
        <v>120</v>
      </c>
      <c r="B119" s="177" t="s">
        <v>164</v>
      </c>
      <c r="C119" s="177" t="s">
        <v>164</v>
      </c>
      <c r="D119" s="130" t="s">
        <v>151</v>
      </c>
      <c r="E119" s="130" t="s">
        <v>151</v>
      </c>
      <c r="F119" s="177" t="s">
        <v>164</v>
      </c>
      <c r="G119" s="177" t="s">
        <v>164</v>
      </c>
      <c r="H119" s="130" t="s">
        <v>151</v>
      </c>
      <c r="I119" s="130" t="s">
        <v>151</v>
      </c>
      <c r="J119" s="177" t="s">
        <v>164</v>
      </c>
      <c r="K119" s="177" t="s">
        <v>164</v>
      </c>
      <c r="L119" s="177" t="s">
        <v>170</v>
      </c>
    </row>
    <row r="120" spans="1:12" s="50" customFormat="1" ht="14.5" x14ac:dyDescent="0.65">
      <c r="A120" s="151" t="s">
        <v>121</v>
      </c>
      <c r="B120" s="150"/>
      <c r="C120" s="150"/>
      <c r="D120" s="150"/>
      <c r="E120" s="150"/>
      <c r="F120" s="150"/>
      <c r="G120" s="150"/>
      <c r="H120" s="150"/>
      <c r="I120" s="150"/>
      <c r="J120" s="150"/>
      <c r="K120" s="150"/>
      <c r="L120" s="150"/>
    </row>
    <row r="121" spans="1:12" s="41" customFormat="1" x14ac:dyDescent="0.75">
      <c r="A121" s="137" t="s">
        <v>122</v>
      </c>
      <c r="B121" s="177" t="s">
        <v>164</v>
      </c>
      <c r="C121" s="177" t="s">
        <v>164</v>
      </c>
      <c r="D121" s="177" t="s">
        <v>164</v>
      </c>
      <c r="E121" s="177" t="s">
        <v>164</v>
      </c>
      <c r="F121" s="177" t="s">
        <v>164</v>
      </c>
      <c r="G121" s="130" t="s">
        <v>151</v>
      </c>
      <c r="H121" s="177" t="s">
        <v>164</v>
      </c>
      <c r="I121" s="177" t="s">
        <v>164</v>
      </c>
      <c r="J121" s="177" t="s">
        <v>164</v>
      </c>
      <c r="K121" s="130" t="s">
        <v>151</v>
      </c>
      <c r="L121" s="177" t="s">
        <v>174</v>
      </c>
    </row>
    <row r="122" spans="1:12" s="52" customFormat="1" x14ac:dyDescent="0.65">
      <c r="A122" s="137" t="s">
        <v>123</v>
      </c>
      <c r="B122" s="177" t="s">
        <v>164</v>
      </c>
      <c r="C122" s="177" t="s">
        <v>164</v>
      </c>
      <c r="D122" s="177" t="s">
        <v>164</v>
      </c>
      <c r="E122" s="177" t="s">
        <v>164</v>
      </c>
      <c r="F122" s="177" t="s">
        <v>164</v>
      </c>
      <c r="G122" s="177" t="s">
        <v>164</v>
      </c>
      <c r="H122" s="177" t="s">
        <v>164</v>
      </c>
      <c r="I122" s="177" t="s">
        <v>164</v>
      </c>
      <c r="J122" s="177" t="s">
        <v>164</v>
      </c>
      <c r="K122" s="177" t="s">
        <v>164</v>
      </c>
      <c r="L122" s="82"/>
    </row>
    <row r="123" spans="1:12" s="52" customFormat="1" x14ac:dyDescent="0.65">
      <c r="A123" s="137" t="s">
        <v>124</v>
      </c>
      <c r="B123" s="177" t="s">
        <v>164</v>
      </c>
      <c r="C123" s="177" t="s">
        <v>164</v>
      </c>
      <c r="D123" s="177" t="s">
        <v>164</v>
      </c>
      <c r="E123" s="177" t="s">
        <v>164</v>
      </c>
      <c r="F123" s="177" t="s">
        <v>164</v>
      </c>
      <c r="G123" s="177" t="s">
        <v>164</v>
      </c>
      <c r="H123" s="177" t="s">
        <v>164</v>
      </c>
      <c r="I123" s="177" t="s">
        <v>164</v>
      </c>
      <c r="J123" s="177" t="s">
        <v>164</v>
      </c>
      <c r="K123" s="177" t="s">
        <v>164</v>
      </c>
      <c r="L123" s="82"/>
    </row>
    <row r="124" spans="1:12" s="52" customFormat="1" ht="42.75" x14ac:dyDescent="0.65">
      <c r="A124" s="137" t="s">
        <v>125</v>
      </c>
      <c r="B124" s="177" t="s">
        <v>164</v>
      </c>
      <c r="C124" s="177" t="s">
        <v>164</v>
      </c>
      <c r="D124" s="177" t="s">
        <v>164</v>
      </c>
      <c r="E124" s="130" t="s">
        <v>151</v>
      </c>
      <c r="F124" s="177" t="s">
        <v>164</v>
      </c>
      <c r="G124" s="130" t="s">
        <v>151</v>
      </c>
      <c r="H124" s="130" t="s">
        <v>151</v>
      </c>
      <c r="I124" s="130" t="s">
        <v>151</v>
      </c>
      <c r="J124" s="177" t="s">
        <v>164</v>
      </c>
      <c r="K124" s="177" t="s">
        <v>164</v>
      </c>
      <c r="L124" s="177" t="s">
        <v>175</v>
      </c>
    </row>
    <row r="125" spans="1:12" s="52" customFormat="1" ht="85.5" x14ac:dyDescent="0.65">
      <c r="A125" s="118" t="s">
        <v>126</v>
      </c>
      <c r="B125" s="177" t="s">
        <v>164</v>
      </c>
      <c r="C125" s="177" t="s">
        <v>164</v>
      </c>
      <c r="D125" s="177" t="s">
        <v>164</v>
      </c>
      <c r="E125" s="130" t="s">
        <v>151</v>
      </c>
      <c r="F125" s="177" t="s">
        <v>164</v>
      </c>
      <c r="G125" s="130" t="s">
        <v>151</v>
      </c>
      <c r="H125" s="130" t="s">
        <v>151</v>
      </c>
      <c r="I125" s="130" t="s">
        <v>151</v>
      </c>
      <c r="J125" s="177" t="s">
        <v>164</v>
      </c>
      <c r="K125" s="177" t="s">
        <v>164</v>
      </c>
      <c r="L125" s="177" t="s">
        <v>176</v>
      </c>
    </row>
    <row r="126" spans="1:12" s="52" customFormat="1" x14ac:dyDescent="0.65">
      <c r="A126" s="137" t="s">
        <v>127</v>
      </c>
      <c r="B126" s="177" t="s">
        <v>164</v>
      </c>
      <c r="C126" s="177" t="s">
        <v>164</v>
      </c>
      <c r="D126" s="177" t="s">
        <v>164</v>
      </c>
      <c r="E126" s="177" t="s">
        <v>164</v>
      </c>
      <c r="F126" s="177" t="s">
        <v>164</v>
      </c>
      <c r="G126" s="177" t="s">
        <v>164</v>
      </c>
      <c r="H126" s="177" t="s">
        <v>164</v>
      </c>
      <c r="I126" s="177" t="s">
        <v>164</v>
      </c>
      <c r="J126" s="177" t="s">
        <v>164</v>
      </c>
      <c r="K126" s="177" t="s">
        <v>164</v>
      </c>
      <c r="L126" s="177"/>
    </row>
    <row r="127" spans="1:12" s="52" customFormat="1" ht="57" x14ac:dyDescent="0.65">
      <c r="A127" s="137" t="s">
        <v>128</v>
      </c>
      <c r="B127" s="177" t="s">
        <v>164</v>
      </c>
      <c r="C127" s="177" t="s">
        <v>164</v>
      </c>
      <c r="D127" s="177" t="s">
        <v>164</v>
      </c>
      <c r="E127" s="131" t="s">
        <v>177</v>
      </c>
      <c r="F127" s="177" t="s">
        <v>164</v>
      </c>
      <c r="G127" s="177" t="s">
        <v>164</v>
      </c>
      <c r="H127" s="177" t="s">
        <v>164</v>
      </c>
      <c r="I127" s="177" t="s">
        <v>164</v>
      </c>
      <c r="J127" s="177" t="s">
        <v>164</v>
      </c>
      <c r="K127" s="177" t="s">
        <v>164</v>
      </c>
      <c r="L127" s="177" t="s">
        <v>178</v>
      </c>
    </row>
    <row r="128" spans="1:12" s="50" customFormat="1" ht="14.5" x14ac:dyDescent="0.65">
      <c r="A128" s="152" t="s">
        <v>129</v>
      </c>
      <c r="B128" s="153"/>
      <c r="C128" s="153"/>
      <c r="D128" s="153"/>
      <c r="E128" s="150"/>
      <c r="F128" s="150"/>
      <c r="G128" s="150"/>
      <c r="H128" s="150"/>
      <c r="I128" s="150"/>
      <c r="J128" s="150"/>
      <c r="K128" s="150"/>
      <c r="L128" s="150"/>
    </row>
    <row r="129" spans="1:12" s="46" customFormat="1" x14ac:dyDescent="0.65">
      <c r="A129" s="137" t="s">
        <v>130</v>
      </c>
      <c r="B129" s="177" t="s">
        <v>164</v>
      </c>
      <c r="C129" s="177" t="s">
        <v>164</v>
      </c>
      <c r="D129" s="177" t="s">
        <v>164</v>
      </c>
      <c r="E129" s="177" t="s">
        <v>164</v>
      </c>
      <c r="F129" s="177" t="s">
        <v>164</v>
      </c>
      <c r="G129" s="130" t="s">
        <v>151</v>
      </c>
      <c r="H129" s="130" t="s">
        <v>151</v>
      </c>
      <c r="I129" s="130" t="s">
        <v>151</v>
      </c>
      <c r="J129" s="177" t="s">
        <v>164</v>
      </c>
      <c r="K129" s="130" t="s">
        <v>151</v>
      </c>
      <c r="L129" s="177" t="s">
        <v>174</v>
      </c>
    </row>
    <row r="130" spans="1:12" s="52" customFormat="1" x14ac:dyDescent="0.65">
      <c r="A130" s="137" t="s">
        <v>131</v>
      </c>
      <c r="B130" s="177" t="s">
        <v>164</v>
      </c>
      <c r="C130" s="177" t="s">
        <v>164</v>
      </c>
      <c r="D130" s="177" t="s">
        <v>164</v>
      </c>
      <c r="E130" s="177" t="s">
        <v>164</v>
      </c>
      <c r="F130" s="177" t="s">
        <v>164</v>
      </c>
      <c r="G130" s="177" t="s">
        <v>164</v>
      </c>
      <c r="H130" s="177" t="s">
        <v>164</v>
      </c>
      <c r="I130" s="177" t="s">
        <v>164</v>
      </c>
      <c r="J130" s="177" t="s">
        <v>164</v>
      </c>
      <c r="K130" s="177" t="s">
        <v>164</v>
      </c>
      <c r="L130" s="177"/>
    </row>
    <row r="131" spans="1:12" s="52" customFormat="1" x14ac:dyDescent="0.65">
      <c r="A131" s="137" t="s">
        <v>132</v>
      </c>
      <c r="B131" s="177" t="s">
        <v>164</v>
      </c>
      <c r="C131" s="177" t="s">
        <v>164</v>
      </c>
      <c r="D131" s="177" t="s">
        <v>164</v>
      </c>
      <c r="E131" s="177" t="s">
        <v>164</v>
      </c>
      <c r="F131" s="177" t="s">
        <v>164</v>
      </c>
      <c r="G131" s="177" t="s">
        <v>164</v>
      </c>
      <c r="H131" s="177" t="s">
        <v>164</v>
      </c>
      <c r="I131" s="177" t="s">
        <v>164</v>
      </c>
      <c r="J131" s="177" t="s">
        <v>164</v>
      </c>
      <c r="K131" s="177" t="s">
        <v>164</v>
      </c>
      <c r="L131" s="177"/>
    </row>
    <row r="132" spans="1:12" s="51" customFormat="1" x14ac:dyDescent="0.75">
      <c r="A132" s="137" t="s">
        <v>133</v>
      </c>
      <c r="B132" s="177" t="s">
        <v>164</v>
      </c>
      <c r="C132" s="177" t="s">
        <v>164</v>
      </c>
      <c r="D132" s="177" t="s">
        <v>164</v>
      </c>
      <c r="E132" s="177" t="s">
        <v>164</v>
      </c>
      <c r="F132" s="177" t="s">
        <v>164</v>
      </c>
      <c r="G132" s="130" t="s">
        <v>151</v>
      </c>
      <c r="H132" s="130" t="s">
        <v>151</v>
      </c>
      <c r="I132" s="130" t="s">
        <v>151</v>
      </c>
      <c r="J132" s="177" t="s">
        <v>164</v>
      </c>
      <c r="K132" s="177" t="s">
        <v>164</v>
      </c>
      <c r="L132" s="177" t="s">
        <v>174</v>
      </c>
    </row>
    <row r="133" spans="1:12" s="51" customFormat="1" ht="28.5" x14ac:dyDescent="0.75">
      <c r="A133" s="137" t="s">
        <v>134</v>
      </c>
      <c r="B133" s="177" t="s">
        <v>164</v>
      </c>
      <c r="C133" s="177" t="s">
        <v>164</v>
      </c>
      <c r="D133" s="177" t="s">
        <v>164</v>
      </c>
      <c r="E133" s="177" t="s">
        <v>164</v>
      </c>
      <c r="F133" s="177" t="s">
        <v>164</v>
      </c>
      <c r="G133" s="130" t="s">
        <v>151</v>
      </c>
      <c r="H133" s="130" t="s">
        <v>151</v>
      </c>
      <c r="I133" s="130" t="s">
        <v>151</v>
      </c>
      <c r="J133" s="177" t="s">
        <v>164</v>
      </c>
      <c r="K133" s="177" t="s">
        <v>164</v>
      </c>
      <c r="L133" s="177" t="s">
        <v>179</v>
      </c>
    </row>
    <row r="134" spans="1:12" s="50" customFormat="1" ht="14.5" x14ac:dyDescent="0.65">
      <c r="A134" s="152" t="s">
        <v>135</v>
      </c>
      <c r="B134" s="153"/>
      <c r="C134" s="153"/>
      <c r="D134" s="153"/>
      <c r="E134" s="150"/>
      <c r="F134" s="150"/>
      <c r="G134" s="150"/>
      <c r="H134" s="150"/>
      <c r="I134" s="150"/>
      <c r="J134" s="150"/>
      <c r="K134" s="150"/>
      <c r="L134" s="150"/>
    </row>
    <row r="135" spans="1:12" s="46" customFormat="1" x14ac:dyDescent="0.65">
      <c r="A135" s="137" t="s">
        <v>136</v>
      </c>
      <c r="B135" s="177" t="s">
        <v>164</v>
      </c>
      <c r="C135" s="177" t="s">
        <v>164</v>
      </c>
      <c r="D135" s="177" t="s">
        <v>164</v>
      </c>
      <c r="E135" s="130" t="s">
        <v>151</v>
      </c>
      <c r="F135" s="177" t="s">
        <v>164</v>
      </c>
      <c r="G135" s="130" t="s">
        <v>151</v>
      </c>
      <c r="H135" s="130" t="s">
        <v>151</v>
      </c>
      <c r="I135" s="130" t="s">
        <v>151</v>
      </c>
      <c r="J135" s="177" t="s">
        <v>164</v>
      </c>
      <c r="K135" s="177" t="s">
        <v>164</v>
      </c>
      <c r="L135" s="177" t="s">
        <v>174</v>
      </c>
    </row>
    <row r="136" spans="1:12" s="52" customFormat="1" ht="85.5" x14ac:dyDescent="0.65">
      <c r="A136" s="137" t="s">
        <v>137</v>
      </c>
      <c r="B136" s="177" t="s">
        <v>164</v>
      </c>
      <c r="C136" s="177" t="s">
        <v>164</v>
      </c>
      <c r="D136" s="177" t="s">
        <v>164</v>
      </c>
      <c r="E136" s="130" t="s">
        <v>151</v>
      </c>
      <c r="F136" s="177" t="s">
        <v>164</v>
      </c>
      <c r="G136" s="130" t="s">
        <v>151</v>
      </c>
      <c r="H136" s="130" t="s">
        <v>151</v>
      </c>
      <c r="I136" s="130" t="s">
        <v>151</v>
      </c>
      <c r="J136" s="177" t="s">
        <v>164</v>
      </c>
      <c r="K136" s="177" t="s">
        <v>164</v>
      </c>
      <c r="L136" s="177" t="s">
        <v>180</v>
      </c>
    </row>
    <row r="137" spans="1:12" s="52" customFormat="1" x14ac:dyDescent="0.65">
      <c r="A137" s="137" t="s">
        <v>138</v>
      </c>
      <c r="B137" s="177" t="s">
        <v>164</v>
      </c>
      <c r="C137" s="177" t="s">
        <v>164</v>
      </c>
      <c r="D137" s="177" t="s">
        <v>164</v>
      </c>
      <c r="E137" s="177" t="s">
        <v>164</v>
      </c>
      <c r="F137" s="177" t="s">
        <v>164</v>
      </c>
      <c r="G137" s="177" t="s">
        <v>164</v>
      </c>
      <c r="H137" s="177" t="s">
        <v>164</v>
      </c>
      <c r="I137" s="177" t="s">
        <v>164</v>
      </c>
      <c r="J137" s="177" t="s">
        <v>164</v>
      </c>
      <c r="K137" s="177" t="s">
        <v>164</v>
      </c>
      <c r="L137" s="177"/>
    </row>
    <row r="138" spans="1:12" s="52" customFormat="1" ht="71.25" x14ac:dyDescent="0.65">
      <c r="A138" s="137" t="s">
        <v>139</v>
      </c>
      <c r="B138" s="177" t="s">
        <v>164</v>
      </c>
      <c r="C138" s="177" t="s">
        <v>164</v>
      </c>
      <c r="D138" s="177" t="s">
        <v>164</v>
      </c>
      <c r="E138" s="130" t="s">
        <v>151</v>
      </c>
      <c r="F138" s="177" t="s">
        <v>164</v>
      </c>
      <c r="G138" s="130" t="s">
        <v>151</v>
      </c>
      <c r="H138" s="130" t="s">
        <v>151</v>
      </c>
      <c r="I138" s="130" t="s">
        <v>151</v>
      </c>
      <c r="J138" s="177" t="s">
        <v>164</v>
      </c>
      <c r="K138" s="130" t="s">
        <v>151</v>
      </c>
      <c r="L138" s="177" t="s">
        <v>181</v>
      </c>
    </row>
    <row r="139" spans="1:12" s="50" customFormat="1" ht="14.5" x14ac:dyDescent="0.65">
      <c r="A139" s="152" t="s">
        <v>140</v>
      </c>
      <c r="B139" s="153"/>
      <c r="C139" s="153"/>
      <c r="D139" s="153"/>
      <c r="E139" s="150"/>
      <c r="F139" s="150"/>
      <c r="G139" s="150"/>
      <c r="H139" s="150"/>
      <c r="I139" s="150"/>
      <c r="J139" s="150"/>
      <c r="K139" s="150"/>
      <c r="L139" s="150"/>
    </row>
    <row r="140" spans="1:12" s="52" customFormat="1" ht="28.5" x14ac:dyDescent="0.65">
      <c r="A140" s="137" t="s">
        <v>141</v>
      </c>
      <c r="B140" s="177" t="s">
        <v>164</v>
      </c>
      <c r="C140" s="177" t="s">
        <v>164</v>
      </c>
      <c r="D140" s="177" t="s">
        <v>164</v>
      </c>
      <c r="E140" s="177" t="s">
        <v>164</v>
      </c>
      <c r="F140" s="177" t="s">
        <v>164</v>
      </c>
      <c r="G140" s="177" t="s">
        <v>164</v>
      </c>
      <c r="H140" s="177" t="s">
        <v>164</v>
      </c>
      <c r="I140" s="177" t="s">
        <v>164</v>
      </c>
      <c r="J140" s="177" t="s">
        <v>164</v>
      </c>
      <c r="K140" s="177" t="s">
        <v>164</v>
      </c>
      <c r="L140" s="177"/>
    </row>
    <row r="141" spans="1:12" s="50" customFormat="1" ht="14.5" x14ac:dyDescent="0.65">
      <c r="A141" s="152" t="s">
        <v>142</v>
      </c>
      <c r="B141" s="153"/>
      <c r="C141" s="153"/>
      <c r="D141" s="153"/>
      <c r="E141" s="150"/>
      <c r="F141" s="150"/>
      <c r="G141" s="150"/>
      <c r="H141" s="150"/>
      <c r="I141" s="150"/>
      <c r="J141" s="150"/>
      <c r="K141" s="150"/>
      <c r="L141" s="150"/>
    </row>
    <row r="142" spans="1:12" s="52" customFormat="1" x14ac:dyDescent="0.65">
      <c r="A142" s="118" t="s">
        <v>143</v>
      </c>
      <c r="B142" s="177" t="s">
        <v>164</v>
      </c>
      <c r="C142" s="177" t="s">
        <v>164</v>
      </c>
      <c r="D142" s="177" t="s">
        <v>164</v>
      </c>
      <c r="E142" s="177" t="s">
        <v>164</v>
      </c>
      <c r="F142" s="177" t="s">
        <v>164</v>
      </c>
      <c r="G142" s="177" t="s">
        <v>164</v>
      </c>
      <c r="H142" s="177" t="s">
        <v>164</v>
      </c>
      <c r="I142" s="177" t="s">
        <v>164</v>
      </c>
      <c r="J142" s="177" t="s">
        <v>164</v>
      </c>
      <c r="K142" s="177" t="s">
        <v>164</v>
      </c>
      <c r="L142" s="177"/>
    </row>
    <row r="143" spans="1:12" s="52" customFormat="1" x14ac:dyDescent="0.65">
      <c r="A143" s="118" t="s">
        <v>144</v>
      </c>
      <c r="B143" s="177" t="s">
        <v>164</v>
      </c>
      <c r="C143" s="177" t="s">
        <v>164</v>
      </c>
      <c r="D143" s="177" t="s">
        <v>164</v>
      </c>
      <c r="E143" s="177" t="s">
        <v>164</v>
      </c>
      <c r="F143" s="177" t="s">
        <v>164</v>
      </c>
      <c r="G143" s="177" t="s">
        <v>164</v>
      </c>
      <c r="H143" s="177" t="s">
        <v>164</v>
      </c>
      <c r="I143" s="177" t="s">
        <v>164</v>
      </c>
      <c r="J143" s="177" t="s">
        <v>164</v>
      </c>
      <c r="K143" s="177" t="s">
        <v>164</v>
      </c>
      <c r="L143" s="177"/>
    </row>
    <row r="144" spans="1:12" s="46" customFormat="1" x14ac:dyDescent="0.65">
      <c r="A144" s="137" t="s">
        <v>145</v>
      </c>
      <c r="B144" s="177" t="s">
        <v>164</v>
      </c>
      <c r="C144" s="177" t="s">
        <v>164</v>
      </c>
      <c r="D144" s="177" t="s">
        <v>164</v>
      </c>
      <c r="E144" s="177" t="s">
        <v>164</v>
      </c>
      <c r="F144" s="177" t="s">
        <v>164</v>
      </c>
      <c r="G144" s="177" t="s">
        <v>164</v>
      </c>
      <c r="H144" s="177" t="s">
        <v>164</v>
      </c>
      <c r="I144" s="177" t="s">
        <v>164</v>
      </c>
      <c r="J144" s="177" t="s">
        <v>164</v>
      </c>
      <c r="K144" s="177" t="s">
        <v>164</v>
      </c>
      <c r="L144" s="177"/>
    </row>
    <row r="145" spans="1:12" s="46" customFormat="1" x14ac:dyDescent="0.65">
      <c r="A145" s="137" t="s">
        <v>146</v>
      </c>
      <c r="B145" s="177" t="s">
        <v>164</v>
      </c>
      <c r="C145" s="177" t="s">
        <v>164</v>
      </c>
      <c r="D145" s="177" t="s">
        <v>164</v>
      </c>
      <c r="E145" s="177" t="s">
        <v>164</v>
      </c>
      <c r="F145" s="177" t="s">
        <v>164</v>
      </c>
      <c r="G145" s="177" t="s">
        <v>164</v>
      </c>
      <c r="H145" s="177" t="s">
        <v>164</v>
      </c>
      <c r="I145" s="177" t="s">
        <v>164</v>
      </c>
      <c r="J145" s="177" t="s">
        <v>164</v>
      </c>
      <c r="K145" s="177" t="s">
        <v>164</v>
      </c>
      <c r="L145" s="177"/>
    </row>
    <row r="146" spans="1:12" x14ac:dyDescent="0.65">
      <c r="A146" s="43"/>
      <c r="B146" s="43"/>
      <c r="C146" s="43"/>
      <c r="D146" s="43"/>
      <c r="E146" s="155"/>
      <c r="F146" s="155"/>
      <c r="G146" s="155"/>
      <c r="H146" s="155"/>
      <c r="I146" s="155"/>
      <c r="J146" s="155"/>
      <c r="K146" s="155"/>
      <c r="L146" s="155"/>
    </row>
    <row r="147" spans="1:12" x14ac:dyDescent="0.65">
      <c r="A147" s="44"/>
      <c r="B147" s="43"/>
      <c r="C147" s="43"/>
      <c r="D147" s="43"/>
      <c r="E147" s="155"/>
      <c r="F147" s="155"/>
      <c r="G147" s="155"/>
      <c r="H147" s="155"/>
      <c r="I147" s="155"/>
      <c r="J147" s="155"/>
      <c r="K147" s="155"/>
      <c r="L147" s="155"/>
    </row>
    <row r="148" spans="1:12" x14ac:dyDescent="0.65">
      <c r="A148" s="44"/>
      <c r="B148" s="43"/>
      <c r="C148" s="43"/>
      <c r="D148" s="43"/>
      <c r="E148" s="155"/>
      <c r="F148" s="155"/>
      <c r="G148" s="155"/>
      <c r="H148" s="155"/>
      <c r="I148" s="155"/>
      <c r="J148" s="155"/>
      <c r="K148" s="155"/>
      <c r="L148" s="155"/>
    </row>
    <row r="149" spans="1:12" x14ac:dyDescent="0.65">
      <c r="A149" s="44"/>
      <c r="B149" s="43"/>
      <c r="C149" s="43"/>
      <c r="D149" s="43"/>
      <c r="E149" s="155"/>
      <c r="F149" s="155"/>
      <c r="G149" s="155"/>
      <c r="H149" s="155"/>
      <c r="I149" s="155"/>
      <c r="J149" s="155"/>
      <c r="K149" s="155"/>
      <c r="L149" s="155"/>
    </row>
    <row r="150" spans="1:12" x14ac:dyDescent="0.65">
      <c r="A150" s="43"/>
      <c r="B150" s="43"/>
      <c r="C150" s="43"/>
      <c r="D150" s="43"/>
      <c r="E150" s="155"/>
      <c r="F150" s="155"/>
      <c r="G150" s="155"/>
      <c r="H150" s="155"/>
      <c r="I150" s="155"/>
      <c r="J150" s="155"/>
      <c r="K150" s="155"/>
      <c r="L150" s="155"/>
    </row>
    <row r="151" spans="1:12" x14ac:dyDescent="0.65">
      <c r="A151" s="43"/>
      <c r="B151" s="43"/>
      <c r="C151" s="43"/>
      <c r="D151" s="43"/>
      <c r="E151" s="155"/>
      <c r="F151" s="155"/>
      <c r="G151" s="155"/>
      <c r="H151" s="155"/>
      <c r="I151" s="155"/>
      <c r="J151" s="155"/>
      <c r="K151" s="155"/>
      <c r="L151" s="155"/>
    </row>
    <row r="152" spans="1:12" x14ac:dyDescent="0.65">
      <c r="A152" s="43"/>
      <c r="B152" s="43"/>
      <c r="C152" s="43"/>
      <c r="D152" s="43"/>
      <c r="E152" s="155"/>
      <c r="F152" s="155"/>
      <c r="G152" s="155"/>
      <c r="H152" s="155"/>
      <c r="I152" s="155"/>
      <c r="J152" s="155"/>
      <c r="K152" s="155"/>
      <c r="L152" s="155"/>
    </row>
    <row r="153" spans="1:12" x14ac:dyDescent="0.65">
      <c r="A153" s="43"/>
      <c r="B153" s="43"/>
      <c r="C153" s="43"/>
      <c r="D153" s="43"/>
      <c r="E153" s="155"/>
      <c r="F153" s="155"/>
      <c r="G153" s="155"/>
      <c r="H153" s="155"/>
      <c r="I153" s="155"/>
      <c r="J153" s="155"/>
      <c r="K153" s="155"/>
      <c r="L153" s="155"/>
    </row>
  </sheetData>
  <mergeCells count="91">
    <mergeCell ref="J67:K67"/>
    <mergeCell ref="C25:L25"/>
    <mergeCell ref="C26:L26"/>
    <mergeCell ref="C27:L27"/>
    <mergeCell ref="L67:L69"/>
    <mergeCell ref="G68:G69"/>
    <mergeCell ref="H68:H69"/>
    <mergeCell ref="I68:I69"/>
    <mergeCell ref="J68:J69"/>
    <mergeCell ref="K68:K69"/>
    <mergeCell ref="B67:G67"/>
    <mergeCell ref="H67:I67"/>
    <mergeCell ref="C59:L59"/>
    <mergeCell ref="C60:L60"/>
    <mergeCell ref="C61:L61"/>
    <mergeCell ref="C50:L50"/>
    <mergeCell ref="B68:B69"/>
    <mergeCell ref="C68:C69"/>
    <mergeCell ref="D68:D69"/>
    <mergeCell ref="E68:E69"/>
    <mergeCell ref="F68:F69"/>
    <mergeCell ref="C51:L51"/>
    <mergeCell ref="C52:L52"/>
    <mergeCell ref="D66:L66"/>
    <mergeCell ref="B6:L6"/>
    <mergeCell ref="B7:L7"/>
    <mergeCell ref="B8:L8"/>
    <mergeCell ref="C10:L10"/>
    <mergeCell ref="C11:L11"/>
    <mergeCell ref="C53:L53"/>
    <mergeCell ref="C54:L54"/>
    <mergeCell ref="C55:L55"/>
    <mergeCell ref="C56:L56"/>
    <mergeCell ref="C57:L57"/>
    <mergeCell ref="C65:L65"/>
    <mergeCell ref="C58:L58"/>
    <mergeCell ref="C12:L12"/>
    <mergeCell ref="C13:L13"/>
    <mergeCell ref="C14:L14"/>
    <mergeCell ref="C28:L28"/>
    <mergeCell ref="C29:L29"/>
    <mergeCell ref="C30:L30"/>
    <mergeCell ref="C15:L15"/>
    <mergeCell ref="C21:L21"/>
    <mergeCell ref="C22:L22"/>
    <mergeCell ref="C23:L23"/>
    <mergeCell ref="C24:L24"/>
    <mergeCell ref="C31:L31"/>
    <mergeCell ref="C32:L32"/>
    <mergeCell ref="C16:L16"/>
    <mergeCell ref="C17:L17"/>
    <mergeCell ref="C18:L18"/>
    <mergeCell ref="C19:L19"/>
    <mergeCell ref="C20:L20"/>
    <mergeCell ref="C48:L48"/>
    <mergeCell ref="C49:L49"/>
    <mergeCell ref="C33:L33"/>
    <mergeCell ref="C34:L34"/>
    <mergeCell ref="C35:L35"/>
    <mergeCell ref="C36:L36"/>
    <mergeCell ref="B1:L1"/>
    <mergeCell ref="B2:L2"/>
    <mergeCell ref="C64:L64"/>
    <mergeCell ref="C37:L37"/>
    <mergeCell ref="C38:L38"/>
    <mergeCell ref="C39:L39"/>
    <mergeCell ref="C40:L40"/>
    <mergeCell ref="C62:L62"/>
    <mergeCell ref="C63:L63"/>
    <mergeCell ref="C41:L41"/>
    <mergeCell ref="C42:L42"/>
    <mergeCell ref="C43:L43"/>
    <mergeCell ref="C44:L44"/>
    <mergeCell ref="C45:L45"/>
    <mergeCell ref="C46:L46"/>
    <mergeCell ref="C47:L47"/>
    <mergeCell ref="B3:C3"/>
    <mergeCell ref="D3:E3"/>
    <mergeCell ref="F3:G3"/>
    <mergeCell ref="H3:I3"/>
    <mergeCell ref="J3:K3"/>
    <mergeCell ref="B4:C4"/>
    <mergeCell ref="D4:E4"/>
    <mergeCell ref="F4:G4"/>
    <mergeCell ref="H4:I4"/>
    <mergeCell ref="J4:K4"/>
    <mergeCell ref="B5:C5"/>
    <mergeCell ref="D5:E5"/>
    <mergeCell ref="F5:G5"/>
    <mergeCell ref="H5:I5"/>
    <mergeCell ref="J5:K5"/>
  </mergeCells>
  <pageMargins left="0.7" right="0.7" top="0.75" bottom="0.75" header="0.3" footer="0.3"/>
  <pageSetup orientation="portrait" verticalDpi="9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C4F9B-6088-4053-BC3A-5400AA76E10A}">
  <dimension ref="A1:M153"/>
  <sheetViews>
    <sheetView zoomScale="80" zoomScaleNormal="80" workbookViewId="0">
      <selection activeCell="B6" sqref="B6:L6"/>
    </sheetView>
  </sheetViews>
  <sheetFormatPr defaultColWidth="8.7265625" defaultRowHeight="14.25" x14ac:dyDescent="0.65"/>
  <cols>
    <col min="1" max="1" width="60.7265625" style="101" customWidth="1"/>
    <col min="2" max="11" width="9.1328125" style="101" customWidth="1"/>
    <col min="12" max="12" width="41.1328125" style="101" customWidth="1"/>
    <col min="13" max="13" width="35" style="101" customWidth="1"/>
    <col min="14" max="16384" width="8.7265625" style="101"/>
  </cols>
  <sheetData>
    <row r="1" spans="1:13" ht="14.75" x14ac:dyDescent="0.75">
      <c r="A1" s="127"/>
      <c r="B1" s="204" t="s">
        <v>0</v>
      </c>
      <c r="C1" s="211"/>
      <c r="D1" s="211"/>
      <c r="E1" s="211"/>
      <c r="F1" s="211"/>
      <c r="G1" s="211"/>
      <c r="H1" s="211"/>
      <c r="I1" s="211"/>
      <c r="J1" s="211"/>
      <c r="K1" s="211"/>
      <c r="L1" s="211"/>
      <c r="M1" s="155"/>
    </row>
    <row r="2" spans="1:13" ht="97.5" customHeight="1" x14ac:dyDescent="0.75">
      <c r="A2" s="127"/>
      <c r="B2" s="204" t="s">
        <v>3</v>
      </c>
      <c r="C2" s="211"/>
      <c r="D2" s="211"/>
      <c r="E2" s="211"/>
      <c r="F2" s="211"/>
      <c r="G2" s="211"/>
      <c r="H2" s="211"/>
      <c r="I2" s="211"/>
      <c r="J2" s="211"/>
      <c r="K2" s="211"/>
      <c r="L2" s="211"/>
      <c r="M2" s="155"/>
    </row>
    <row r="3" spans="1:13" ht="15.5" x14ac:dyDescent="0.75">
      <c r="A3" s="128" t="s">
        <v>182</v>
      </c>
      <c r="B3" s="216"/>
      <c r="C3" s="184"/>
      <c r="D3" s="184"/>
      <c r="E3" s="184"/>
      <c r="F3" s="184"/>
      <c r="G3" s="184"/>
      <c r="H3" s="184"/>
      <c r="I3" s="184"/>
      <c r="J3" s="184"/>
      <c r="K3" s="184"/>
      <c r="L3" s="184"/>
      <c r="M3" s="155"/>
    </row>
    <row r="4" spans="1:13" ht="15.5" x14ac:dyDescent="0.75">
      <c r="A4" s="128" t="str">
        <f>'Cover Page'!A16</f>
        <v>As of: May 26, 2021</v>
      </c>
      <c r="B4" s="216"/>
      <c r="C4" s="184"/>
      <c r="D4" s="184"/>
      <c r="E4" s="184"/>
      <c r="F4" s="184"/>
      <c r="G4" s="184"/>
      <c r="H4" s="184"/>
      <c r="I4" s="184"/>
      <c r="J4" s="184"/>
      <c r="K4" s="184"/>
      <c r="L4" s="184"/>
      <c r="M4" s="155"/>
    </row>
    <row r="5" spans="1:13" ht="15.5" x14ac:dyDescent="0.75">
      <c r="A5" s="128"/>
      <c r="B5" s="216"/>
      <c r="C5" s="184"/>
      <c r="D5" s="184"/>
      <c r="E5" s="184"/>
      <c r="F5" s="184"/>
      <c r="G5" s="184"/>
      <c r="H5" s="184"/>
      <c r="I5" s="184"/>
      <c r="J5" s="184"/>
      <c r="K5" s="184"/>
      <c r="L5" s="184"/>
      <c r="M5" s="155"/>
    </row>
    <row r="6" spans="1:13" ht="14.5" x14ac:dyDescent="0.65">
      <c r="A6" s="176" t="s">
        <v>52</v>
      </c>
      <c r="B6" s="213" t="s">
        <v>183</v>
      </c>
      <c r="C6" s="213"/>
      <c r="D6" s="213"/>
      <c r="E6" s="213"/>
      <c r="F6" s="213"/>
      <c r="G6" s="213"/>
      <c r="H6" s="213"/>
      <c r="I6" s="213"/>
      <c r="J6" s="213"/>
      <c r="K6" s="213"/>
      <c r="L6" s="213"/>
      <c r="M6" s="155"/>
    </row>
    <row r="7" spans="1:13" ht="14.5" x14ac:dyDescent="0.65">
      <c r="A7" s="176" t="s">
        <v>53</v>
      </c>
      <c r="B7" s="213" t="s">
        <v>184</v>
      </c>
      <c r="C7" s="213"/>
      <c r="D7" s="213"/>
      <c r="E7" s="213"/>
      <c r="F7" s="213"/>
      <c r="G7" s="213"/>
      <c r="H7" s="213"/>
      <c r="I7" s="213"/>
      <c r="J7" s="213"/>
      <c r="K7" s="213"/>
      <c r="L7" s="213"/>
      <c r="M7" s="155"/>
    </row>
    <row r="8" spans="1:13" ht="49.9" customHeight="1" x14ac:dyDescent="0.65">
      <c r="A8" s="176" t="s">
        <v>54</v>
      </c>
      <c r="B8" s="213" t="s">
        <v>185</v>
      </c>
      <c r="C8" s="213"/>
      <c r="D8" s="213"/>
      <c r="E8" s="213"/>
      <c r="F8" s="213"/>
      <c r="G8" s="213"/>
      <c r="H8" s="213"/>
      <c r="I8" s="213"/>
      <c r="J8" s="213"/>
      <c r="K8" s="213"/>
      <c r="L8" s="213"/>
      <c r="M8" s="155"/>
    </row>
    <row r="9" spans="1:13" s="102" customFormat="1" ht="12.75" customHeight="1" x14ac:dyDescent="0.65">
      <c r="A9" s="124" t="s">
        <v>55</v>
      </c>
      <c r="B9" s="83"/>
      <c r="C9" s="83"/>
      <c r="D9" s="83"/>
      <c r="E9" s="83"/>
      <c r="F9" s="83"/>
      <c r="G9" s="83"/>
      <c r="H9" s="83"/>
      <c r="I9" s="83"/>
      <c r="J9" s="83"/>
      <c r="K9" s="83"/>
      <c r="L9" s="83"/>
    </row>
    <row r="10" spans="1:13" ht="14.5" x14ac:dyDescent="0.65">
      <c r="A10" s="91" t="s">
        <v>19</v>
      </c>
      <c r="B10" s="91" t="s">
        <v>25</v>
      </c>
      <c r="C10" s="202" t="s">
        <v>27</v>
      </c>
      <c r="D10" s="202"/>
      <c r="E10" s="202"/>
      <c r="F10" s="202"/>
      <c r="G10" s="202"/>
      <c r="H10" s="202"/>
      <c r="I10" s="202"/>
      <c r="J10" s="202"/>
      <c r="K10" s="202"/>
      <c r="L10" s="202"/>
      <c r="M10" s="103"/>
    </row>
    <row r="11" spans="1:13" x14ac:dyDescent="0.65">
      <c r="A11" s="177" t="str">
        <f>CONCATENATE('FFM-Functions-Activities'!B3,": ",'FFM-Functions-Activities'!D3)</f>
        <v>Budget Execution: Budget Setup and Maintenance</v>
      </c>
      <c r="B11" s="130" t="s">
        <v>151</v>
      </c>
      <c r="C11" s="212"/>
      <c r="D11" s="212"/>
      <c r="E11" s="212"/>
      <c r="F11" s="212"/>
      <c r="G11" s="212"/>
      <c r="H11" s="212"/>
      <c r="I11" s="212"/>
      <c r="J11" s="212"/>
      <c r="K11" s="212"/>
      <c r="L11" s="212"/>
      <c r="M11" s="103"/>
    </row>
    <row r="12" spans="1:13" x14ac:dyDescent="0.65">
      <c r="A12" s="177" t="str">
        <f>CONCATENATE('FFM-Functions-Activities'!B4,": ",'FFM-Functions-Activities'!D4)</f>
        <v>Budget Execution: Fund Allocation and Control</v>
      </c>
      <c r="B12" s="130" t="s">
        <v>151</v>
      </c>
      <c r="C12" s="212" t="s">
        <v>152</v>
      </c>
      <c r="D12" s="212"/>
      <c r="E12" s="212"/>
      <c r="F12" s="212"/>
      <c r="G12" s="212"/>
      <c r="H12" s="212"/>
      <c r="I12" s="212"/>
      <c r="J12" s="212"/>
      <c r="K12" s="212"/>
      <c r="L12" s="212"/>
      <c r="M12" s="103"/>
    </row>
    <row r="13" spans="1:13" x14ac:dyDescent="0.65">
      <c r="A13" s="177" t="str">
        <f>CONCATENATE('FFM-Functions-Activities'!B5,": ",'FFM-Functions-Activities'!D5)</f>
        <v>Budget Execution: Budgetary Reporting</v>
      </c>
      <c r="B13" s="130" t="s">
        <v>151</v>
      </c>
      <c r="C13" s="212" t="s">
        <v>186</v>
      </c>
      <c r="D13" s="212"/>
      <c r="E13" s="212"/>
      <c r="F13" s="212"/>
      <c r="G13" s="212"/>
      <c r="H13" s="212"/>
      <c r="I13" s="212"/>
      <c r="J13" s="212"/>
      <c r="K13" s="212"/>
      <c r="L13" s="212"/>
      <c r="M13" s="103"/>
    </row>
    <row r="14" spans="1:13" ht="28.5" x14ac:dyDescent="0.65">
      <c r="A14" s="177" t="str">
        <f>CONCATENATE('FFM-Functions-Activities'!B6,": ",'FFM-Functions-Activities'!D6)</f>
        <v>Financial Asset Information Management: Financial Asset Information Processing -  Property, Plant, and Equipment</v>
      </c>
      <c r="B14" s="130" t="s">
        <v>151</v>
      </c>
      <c r="C14" s="212" t="s">
        <v>154</v>
      </c>
      <c r="D14" s="212"/>
      <c r="E14" s="212"/>
      <c r="F14" s="212"/>
      <c r="G14" s="212"/>
      <c r="H14" s="212"/>
      <c r="I14" s="212"/>
      <c r="J14" s="212"/>
      <c r="K14" s="212"/>
      <c r="L14" s="212"/>
      <c r="M14" s="103"/>
    </row>
    <row r="15" spans="1:13" ht="28.5" x14ac:dyDescent="0.65">
      <c r="A15" s="177" t="str">
        <f>CONCATENATE('FFM-Functions-Activities'!B7,": ",'FFM-Functions-Activities'!D7)</f>
        <v>Financial Asset Information Management: Financial Asset Information Processing - Loans</v>
      </c>
      <c r="B15" s="130" t="s">
        <v>151</v>
      </c>
      <c r="C15" s="212" t="s">
        <v>154</v>
      </c>
      <c r="D15" s="212"/>
      <c r="E15" s="212"/>
      <c r="F15" s="212"/>
      <c r="G15" s="212"/>
      <c r="H15" s="212"/>
      <c r="I15" s="212"/>
      <c r="J15" s="212"/>
      <c r="K15" s="212"/>
      <c r="L15" s="212"/>
      <c r="M15" s="103"/>
    </row>
    <row r="16" spans="1:13" ht="28.5" x14ac:dyDescent="0.65">
      <c r="A16" s="177" t="str">
        <f>CONCATENATE('FFM-Functions-Activities'!B8,": ",'FFM-Functions-Activities'!D8)</f>
        <v>Financial Asset Information Management: Financial Asset Information Processing - Heritage Assets and Stewardship Land</v>
      </c>
      <c r="B16" s="130" t="s">
        <v>151</v>
      </c>
      <c r="C16" s="212" t="s">
        <v>154</v>
      </c>
      <c r="D16" s="212"/>
      <c r="E16" s="212"/>
      <c r="F16" s="212"/>
      <c r="G16" s="212"/>
      <c r="H16" s="212"/>
      <c r="I16" s="212"/>
      <c r="J16" s="212"/>
      <c r="K16" s="212"/>
      <c r="L16" s="212"/>
      <c r="M16" s="103"/>
    </row>
    <row r="17" spans="1:13" ht="28.5" x14ac:dyDescent="0.65">
      <c r="A17" s="177" t="str">
        <f>CONCATENATE('FFM-Functions-Activities'!B9,": ",'FFM-Functions-Activities'!D9)</f>
        <v>Financial Asset Information Management: Financial Asset Information Processing - Federal Oil and Gas Resources</v>
      </c>
      <c r="B17" s="130" t="s">
        <v>151</v>
      </c>
      <c r="C17" s="212" t="s">
        <v>154</v>
      </c>
      <c r="D17" s="212"/>
      <c r="E17" s="212"/>
      <c r="F17" s="212"/>
      <c r="G17" s="212"/>
      <c r="H17" s="212"/>
      <c r="I17" s="212"/>
      <c r="J17" s="212"/>
      <c r="K17" s="212"/>
      <c r="L17" s="212"/>
      <c r="M17" s="103"/>
    </row>
    <row r="18" spans="1:13" ht="28.5" x14ac:dyDescent="0.65">
      <c r="A18" s="177" t="str">
        <f>CONCATENATE('FFM-Functions-Activities'!B10,": ",'FFM-Functions-Activities'!D10)</f>
        <v>Financial Asset Information Management: Financial Asset Information Processing - Other Federal Assets</v>
      </c>
      <c r="B18" s="130" t="s">
        <v>151</v>
      </c>
      <c r="C18" s="212" t="s">
        <v>154</v>
      </c>
      <c r="D18" s="212"/>
      <c r="E18" s="212"/>
      <c r="F18" s="212"/>
      <c r="G18" s="212"/>
      <c r="H18" s="212"/>
      <c r="I18" s="212"/>
      <c r="J18" s="212"/>
      <c r="K18" s="212"/>
      <c r="L18" s="212"/>
      <c r="M18" s="103"/>
    </row>
    <row r="19" spans="1:13" ht="28.5" x14ac:dyDescent="0.65">
      <c r="A19" s="177" t="str">
        <f>CONCATENATE('FFM-Functions-Activities'!B11,": ",'FFM-Functions-Activities'!D11)</f>
        <v>Financial Asset Information Management: Financial Asset Information Reporting</v>
      </c>
      <c r="B19" s="130" t="s">
        <v>151</v>
      </c>
      <c r="C19" s="212" t="s">
        <v>186</v>
      </c>
      <c r="D19" s="212"/>
      <c r="E19" s="212"/>
      <c r="F19" s="212"/>
      <c r="G19" s="212"/>
      <c r="H19" s="212"/>
      <c r="I19" s="212"/>
      <c r="J19" s="212"/>
      <c r="K19" s="212"/>
      <c r="L19" s="212"/>
      <c r="M19" s="103"/>
    </row>
    <row r="20" spans="1:13" x14ac:dyDescent="0.65">
      <c r="A20" s="177" t="str">
        <f>CONCATENATE('FFM-Functions-Activities'!B12,": ",'FFM-Functions-Activities'!D12)</f>
        <v>Payable Management: Payee Setup and Maintenance</v>
      </c>
      <c r="B20" s="130" t="s">
        <v>151</v>
      </c>
      <c r="C20" s="212" t="s">
        <v>187</v>
      </c>
      <c r="D20" s="212"/>
      <c r="E20" s="212"/>
      <c r="F20" s="212"/>
      <c r="G20" s="212"/>
      <c r="H20" s="212"/>
      <c r="I20" s="212"/>
      <c r="J20" s="212"/>
      <c r="K20" s="212"/>
      <c r="L20" s="212"/>
      <c r="M20" s="103"/>
    </row>
    <row r="21" spans="1:13" x14ac:dyDescent="0.65">
      <c r="A21" s="177" t="str">
        <f>CONCATENATE('FFM-Functions-Activities'!B13,": ",'FFM-Functions-Activities'!D13)</f>
        <v>Payable Management: Obligation Management</v>
      </c>
      <c r="B21" s="130" t="s">
        <v>151</v>
      </c>
      <c r="C21" s="212" t="s">
        <v>188</v>
      </c>
      <c r="D21" s="212"/>
      <c r="E21" s="212"/>
      <c r="F21" s="212"/>
      <c r="G21" s="212"/>
      <c r="H21" s="212"/>
      <c r="I21" s="212"/>
      <c r="J21" s="212"/>
      <c r="K21" s="212"/>
      <c r="L21" s="212"/>
      <c r="M21" s="103"/>
    </row>
    <row r="22" spans="1:13" ht="28.5" x14ac:dyDescent="0.65">
      <c r="A22" s="177" t="str">
        <f>CONCATENATE('FFM-Functions-Activities'!B14,": ",'FFM-Functions-Activities'!D14)</f>
        <v>Payable Management: Payment Processing - Intragovernmental Payments</v>
      </c>
      <c r="B22" s="130" t="s">
        <v>151</v>
      </c>
      <c r="C22" s="212" t="s">
        <v>189</v>
      </c>
      <c r="D22" s="212"/>
      <c r="E22" s="212"/>
      <c r="F22" s="212"/>
      <c r="G22" s="212"/>
      <c r="H22" s="212"/>
      <c r="I22" s="212"/>
      <c r="J22" s="212"/>
      <c r="K22" s="212"/>
      <c r="L22" s="212"/>
      <c r="M22" s="103"/>
    </row>
    <row r="23" spans="1:13" x14ac:dyDescent="0.65">
      <c r="A23" s="177" t="str">
        <f>CONCATENATE('FFM-Functions-Activities'!B15,": ",'FFM-Functions-Activities'!D15)</f>
        <v>Payable Management: Payment Processing - Payroll Payments</v>
      </c>
      <c r="B23" s="130" t="s">
        <v>151</v>
      </c>
      <c r="C23" s="212" t="s">
        <v>190</v>
      </c>
      <c r="D23" s="212"/>
      <c r="E23" s="212"/>
      <c r="F23" s="212"/>
      <c r="G23" s="212"/>
      <c r="H23" s="212"/>
      <c r="I23" s="212"/>
      <c r="J23" s="212"/>
      <c r="K23" s="212"/>
      <c r="L23" s="212"/>
      <c r="M23" s="103"/>
    </row>
    <row r="24" spans="1:13" ht="28.5" x14ac:dyDescent="0.65">
      <c r="A24" s="177" t="str">
        <f>CONCATENATE('FFM-Functions-Activities'!B16,": ",'FFM-Functions-Activities'!D16)</f>
        <v>Payable Management: Payment Processing - Travel Temporary Duty (TDY) and Local Payments</v>
      </c>
      <c r="B24" s="130" t="s">
        <v>151</v>
      </c>
      <c r="C24" s="212" t="s">
        <v>191</v>
      </c>
      <c r="D24" s="212"/>
      <c r="E24" s="212"/>
      <c r="F24" s="212"/>
      <c r="G24" s="212"/>
      <c r="H24" s="212"/>
      <c r="I24" s="212"/>
      <c r="J24" s="212"/>
      <c r="K24" s="212"/>
      <c r="L24" s="212"/>
      <c r="M24" s="103"/>
    </row>
    <row r="25" spans="1:13" ht="28.5" x14ac:dyDescent="0.65">
      <c r="A25" s="177" t="str">
        <f>CONCATENATE('FFM-Functions-Activities'!B17,": ",'FFM-Functions-Activities'!D17)</f>
        <v>Payable Management: Payment Processing - Travel PCS Payments</v>
      </c>
      <c r="B25" s="130" t="s">
        <v>151</v>
      </c>
      <c r="C25" s="212"/>
      <c r="D25" s="212"/>
      <c r="E25" s="212"/>
      <c r="F25" s="212"/>
      <c r="G25" s="212"/>
      <c r="H25" s="212"/>
      <c r="I25" s="212"/>
      <c r="J25" s="212"/>
      <c r="K25" s="212"/>
      <c r="L25" s="212"/>
      <c r="M25" s="103"/>
    </row>
    <row r="26" spans="1:13" ht="28.5" x14ac:dyDescent="0.65">
      <c r="A26" s="177" t="str">
        <f>CONCATENATE('FFM-Functions-Activities'!B18,": ",'FFM-Functions-Activities'!D18)</f>
        <v>Payable Management: Payment Processing - Commercial Payments</v>
      </c>
      <c r="B26" s="130" t="s">
        <v>151</v>
      </c>
      <c r="C26" s="212" t="s">
        <v>192</v>
      </c>
      <c r="D26" s="212"/>
      <c r="E26" s="212"/>
      <c r="F26" s="212"/>
      <c r="G26" s="212"/>
      <c r="H26" s="212"/>
      <c r="I26" s="212"/>
      <c r="J26" s="212"/>
      <c r="K26" s="212"/>
      <c r="L26" s="212"/>
      <c r="M26" s="103"/>
    </row>
    <row r="27" spans="1:13" x14ac:dyDescent="0.65">
      <c r="A27" s="177" t="str">
        <f>CONCATENATE('FFM-Functions-Activities'!B19,": ",'FFM-Functions-Activities'!D19)</f>
        <v>Payable Management: Payment Processing - Grant Payments</v>
      </c>
      <c r="B27" s="130" t="s">
        <v>151</v>
      </c>
      <c r="C27" s="212" t="s">
        <v>193</v>
      </c>
      <c r="D27" s="212"/>
      <c r="E27" s="212"/>
      <c r="F27" s="212"/>
      <c r="G27" s="212"/>
      <c r="H27" s="212"/>
      <c r="I27" s="212"/>
      <c r="J27" s="212"/>
      <c r="K27" s="212"/>
      <c r="L27" s="212"/>
      <c r="M27" s="103"/>
    </row>
    <row r="28" spans="1:13" x14ac:dyDescent="0.65">
      <c r="A28" s="177" t="str">
        <f>CONCATENATE('FFM-Functions-Activities'!B20,": ",'FFM-Functions-Activities'!D20)</f>
        <v>Payable Management: Payment Processing - Loan Payments</v>
      </c>
      <c r="B28" s="130" t="s">
        <v>151</v>
      </c>
      <c r="C28" s="212"/>
      <c r="D28" s="212"/>
      <c r="E28" s="212"/>
      <c r="F28" s="212"/>
      <c r="G28" s="212"/>
      <c r="H28" s="212"/>
      <c r="I28" s="212"/>
      <c r="J28" s="212"/>
      <c r="K28" s="212"/>
      <c r="L28" s="212"/>
      <c r="M28" s="155"/>
    </row>
    <row r="29" spans="1:13" ht="42.75" x14ac:dyDescent="0.65">
      <c r="A29" s="177" t="str">
        <f>CONCATENATE('FFM-Functions-Activities'!B21,": ",'FFM-Functions-Activities'!D21)</f>
        <v xml:space="preserve">Payable Management: Payment Processing - Other Payments (Foreign and Miscellaneous Payments)
</v>
      </c>
      <c r="B29" s="130" t="s">
        <v>151</v>
      </c>
      <c r="C29" s="212"/>
      <c r="D29" s="212"/>
      <c r="E29" s="212"/>
      <c r="F29" s="212"/>
      <c r="G29" s="212"/>
      <c r="H29" s="212"/>
      <c r="I29" s="212"/>
      <c r="J29" s="212"/>
      <c r="K29" s="212"/>
      <c r="L29" s="212"/>
      <c r="M29" s="103"/>
    </row>
    <row r="30" spans="1:13" x14ac:dyDescent="0.65">
      <c r="A30" s="177" t="str">
        <f>CONCATENATE('FFM-Functions-Activities'!B22,": ",'FFM-Functions-Activities'!D22)</f>
        <v>Payable Management: Payment Disbursement</v>
      </c>
      <c r="B30" s="130" t="s">
        <v>151</v>
      </c>
      <c r="C30" s="212"/>
      <c r="D30" s="212"/>
      <c r="E30" s="212"/>
      <c r="F30" s="212"/>
      <c r="G30" s="212"/>
      <c r="H30" s="212"/>
      <c r="I30" s="212"/>
      <c r="J30" s="212"/>
      <c r="K30" s="212"/>
      <c r="L30" s="212"/>
      <c r="M30" s="103"/>
    </row>
    <row r="31" spans="1:13" ht="28.5" x14ac:dyDescent="0.65">
      <c r="A31" s="177" t="str">
        <f>CONCATENATE('FFM-Functions-Activities'!B23,": ",'FFM-Functions-Activities'!D23)</f>
        <v>Payable Management: Payment Confirmation and Issue Resolution</v>
      </c>
      <c r="B31" s="130" t="s">
        <v>151</v>
      </c>
      <c r="C31" s="212"/>
      <c r="D31" s="212"/>
      <c r="E31" s="212"/>
      <c r="F31" s="212"/>
      <c r="G31" s="212"/>
      <c r="H31" s="212"/>
      <c r="I31" s="212"/>
      <c r="J31" s="212"/>
      <c r="K31" s="212"/>
      <c r="L31" s="212"/>
      <c r="M31" s="103"/>
    </row>
    <row r="32" spans="1:13" x14ac:dyDescent="0.65">
      <c r="A32" s="177" t="str">
        <f>CONCATENATE('FFM-Functions-Activities'!B24,": ",'FFM-Functions-Activities'!D24)</f>
        <v>Payable Management: Payment Reporting</v>
      </c>
      <c r="B32" s="130" t="s">
        <v>151</v>
      </c>
      <c r="C32" s="212" t="s">
        <v>194</v>
      </c>
      <c r="D32" s="212"/>
      <c r="E32" s="212"/>
      <c r="F32" s="212"/>
      <c r="G32" s="212"/>
      <c r="H32" s="212"/>
      <c r="I32" s="212"/>
      <c r="J32" s="212"/>
      <c r="K32" s="212"/>
      <c r="L32" s="212"/>
      <c r="M32" s="103"/>
    </row>
    <row r="33" spans="1:13" x14ac:dyDescent="0.65">
      <c r="A33" s="177" t="str">
        <f>CONCATENATE('FFM-Functions-Activities'!B25,": ",'FFM-Functions-Activities'!D25)</f>
        <v>Revenue Management: Revenue Processing</v>
      </c>
      <c r="B33" s="130" t="s">
        <v>151</v>
      </c>
      <c r="C33" s="212"/>
      <c r="D33" s="212"/>
      <c r="E33" s="212"/>
      <c r="F33" s="212"/>
      <c r="G33" s="212"/>
      <c r="H33" s="212"/>
      <c r="I33" s="212"/>
      <c r="J33" s="212"/>
      <c r="K33" s="212"/>
      <c r="L33" s="212"/>
      <c r="M33" s="103"/>
    </row>
    <row r="34" spans="1:13" x14ac:dyDescent="0.65">
      <c r="A34" s="177" t="str">
        <f>CONCATENATE('FFM-Functions-Activities'!B26,": ",'FFM-Functions-Activities'!D26)</f>
        <v>Revenue Management: Revenue Reporting</v>
      </c>
      <c r="B34" s="130" t="s">
        <v>151</v>
      </c>
      <c r="C34" s="212" t="s">
        <v>195</v>
      </c>
      <c r="D34" s="212"/>
      <c r="E34" s="212"/>
      <c r="F34" s="212"/>
      <c r="G34" s="212"/>
      <c r="H34" s="212"/>
      <c r="I34" s="212"/>
      <c r="J34" s="212"/>
      <c r="K34" s="212"/>
      <c r="L34" s="212"/>
      <c r="M34" s="103"/>
    </row>
    <row r="35" spans="1:13" ht="28.5" x14ac:dyDescent="0.65">
      <c r="A35" s="177" t="str">
        <f>CONCATENATE('FFM-Functions-Activities'!B27,": ",'FFM-Functions-Activities'!D27)</f>
        <v>Reimbursable Management: Reimbursable Agreement Setup and Maintenance</v>
      </c>
      <c r="B35" s="130" t="s">
        <v>151</v>
      </c>
      <c r="C35" s="212"/>
      <c r="D35" s="212"/>
      <c r="E35" s="212"/>
      <c r="F35" s="212"/>
      <c r="G35" s="212"/>
      <c r="H35" s="212"/>
      <c r="I35" s="212"/>
      <c r="J35" s="212"/>
      <c r="K35" s="212"/>
      <c r="L35" s="212"/>
      <c r="M35" s="103"/>
    </row>
    <row r="36" spans="1:13" x14ac:dyDescent="0.65">
      <c r="A36" s="177" t="str">
        <f>CONCATENATE('FFM-Functions-Activities'!B28,": ",'FFM-Functions-Activities'!D28)</f>
        <v>Reimbursable Management: Reimbursable Invoicing</v>
      </c>
      <c r="B36" s="130" t="s">
        <v>151</v>
      </c>
      <c r="C36" s="212" t="s">
        <v>189</v>
      </c>
      <c r="D36" s="212"/>
      <c r="E36" s="212"/>
      <c r="F36" s="212"/>
      <c r="G36" s="212"/>
      <c r="H36" s="212"/>
      <c r="I36" s="212"/>
      <c r="J36" s="212"/>
      <c r="K36" s="212"/>
      <c r="L36" s="212"/>
      <c r="M36" s="103"/>
    </row>
    <row r="37" spans="1:13" x14ac:dyDescent="0.65">
      <c r="A37" s="177" t="str">
        <f>CONCATENATE('FFM-Functions-Activities'!B29,": ",'FFM-Functions-Activities'!D29)</f>
        <v>Reimbursable Management: Reimbursable Receipt Processing</v>
      </c>
      <c r="B37" s="130" t="s">
        <v>151</v>
      </c>
      <c r="C37" s="212" t="s">
        <v>189</v>
      </c>
      <c r="D37" s="212"/>
      <c r="E37" s="212"/>
      <c r="F37" s="212"/>
      <c r="G37" s="212"/>
      <c r="H37" s="212"/>
      <c r="I37" s="212"/>
      <c r="J37" s="212"/>
      <c r="K37" s="212"/>
      <c r="L37" s="212"/>
      <c r="M37" s="103"/>
    </row>
    <row r="38" spans="1:13" x14ac:dyDescent="0.65">
      <c r="A38" s="177" t="str">
        <f>CONCATENATE('FFM-Functions-Activities'!B30,": ",'FFM-Functions-Activities'!D30)</f>
        <v>Reimbursable Management: Reimbursable Reconciliation</v>
      </c>
      <c r="B38" s="130" t="s">
        <v>151</v>
      </c>
      <c r="C38" s="212"/>
      <c r="D38" s="212"/>
      <c r="E38" s="212"/>
      <c r="F38" s="212"/>
      <c r="G38" s="212"/>
      <c r="H38" s="212"/>
      <c r="I38" s="212"/>
      <c r="J38" s="212"/>
      <c r="K38" s="212"/>
      <c r="L38" s="212"/>
      <c r="M38" s="103"/>
    </row>
    <row r="39" spans="1:13" x14ac:dyDescent="0.65">
      <c r="A39" s="177" t="str">
        <f>CONCATENATE('FFM-Functions-Activities'!B31,": ",'FFM-Functions-Activities'!D31)</f>
        <v>Reimbursable Management: Reimbursable Closeout</v>
      </c>
      <c r="B39" s="130" t="s">
        <v>151</v>
      </c>
      <c r="C39" s="212"/>
      <c r="D39" s="212"/>
      <c r="E39" s="212"/>
      <c r="F39" s="212"/>
      <c r="G39" s="212"/>
      <c r="H39" s="212"/>
      <c r="I39" s="212"/>
      <c r="J39" s="212"/>
      <c r="K39" s="212"/>
      <c r="L39" s="212"/>
      <c r="M39" s="103"/>
    </row>
    <row r="40" spans="1:13" x14ac:dyDescent="0.65">
      <c r="A40" s="177" t="str">
        <f>CONCATENATE('FFM-Functions-Activities'!B32,": ",'FFM-Functions-Activities'!D32)</f>
        <v>Reimbursable Management: Reimbursable Reporting</v>
      </c>
      <c r="B40" s="130" t="s">
        <v>151</v>
      </c>
      <c r="C40" s="212" t="s">
        <v>195</v>
      </c>
      <c r="D40" s="212"/>
      <c r="E40" s="212"/>
      <c r="F40" s="212"/>
      <c r="G40" s="212"/>
      <c r="H40" s="212"/>
      <c r="I40" s="212"/>
      <c r="J40" s="212"/>
      <c r="K40" s="212"/>
      <c r="L40" s="212"/>
      <c r="M40" s="155"/>
    </row>
    <row r="41" spans="1:13" ht="28.5" x14ac:dyDescent="0.65">
      <c r="A41" s="177" t="str">
        <f>CONCATENATE('FFM-Functions-Activities'!B33,": ",'FFM-Functions-Activities'!D33)</f>
        <v>Receivable and Collection Management: Payer Setup and Maintenance</v>
      </c>
      <c r="B41" s="130" t="s">
        <v>151</v>
      </c>
      <c r="C41" s="212"/>
      <c r="D41" s="212"/>
      <c r="E41" s="212"/>
      <c r="F41" s="212"/>
      <c r="G41" s="212"/>
      <c r="H41" s="212"/>
      <c r="I41" s="212"/>
      <c r="J41" s="212"/>
      <c r="K41" s="212"/>
      <c r="L41" s="212"/>
      <c r="M41" s="103"/>
    </row>
    <row r="42" spans="1:13" ht="28.5" x14ac:dyDescent="0.65">
      <c r="A42" s="177" t="str">
        <f>CONCATENATE('FFM-Functions-Activities'!B34,": ",'FFM-Functions-Activities'!D34)</f>
        <v>Receivable and Collection Management: Public Receivable Setup and Billing Invoicing</v>
      </c>
      <c r="B42" s="130" t="s">
        <v>151</v>
      </c>
      <c r="C42" s="212"/>
      <c r="D42" s="212"/>
      <c r="E42" s="212"/>
      <c r="F42" s="212"/>
      <c r="G42" s="212"/>
      <c r="H42" s="212"/>
      <c r="I42" s="212"/>
      <c r="J42" s="212"/>
      <c r="K42" s="212"/>
      <c r="L42" s="212"/>
      <c r="M42" s="103"/>
    </row>
    <row r="43" spans="1:13" ht="28.5" x14ac:dyDescent="0.65">
      <c r="A43" s="177" t="str">
        <f>CONCATENATE('FFM-Functions-Activities'!B35,": ",'FFM-Functions-Activities'!D35)</f>
        <v>Receivable and Collection Management: Public Receipt Processing</v>
      </c>
      <c r="B43" s="130" t="s">
        <v>151</v>
      </c>
      <c r="C43" s="212"/>
      <c r="D43" s="212"/>
      <c r="E43" s="212"/>
      <c r="F43" s="212"/>
      <c r="G43" s="212"/>
      <c r="H43" s="212"/>
      <c r="I43" s="212"/>
      <c r="J43" s="212"/>
      <c r="K43" s="212"/>
      <c r="L43" s="212"/>
      <c r="M43" s="103"/>
    </row>
    <row r="44" spans="1:13" ht="28.5" x14ac:dyDescent="0.65">
      <c r="A44" s="177" t="str">
        <f>CONCATENATE('FFM-Functions-Activities'!B36,": ",'FFM-Functions-Activities'!D36)</f>
        <v>Receivable and Collection Management: Credit Memo and Adjustment Processing</v>
      </c>
      <c r="B44" s="130" t="s">
        <v>151</v>
      </c>
      <c r="C44" s="212"/>
      <c r="D44" s="212"/>
      <c r="E44" s="212"/>
      <c r="F44" s="212"/>
      <c r="G44" s="212"/>
      <c r="H44" s="212"/>
      <c r="I44" s="212"/>
      <c r="J44" s="212"/>
      <c r="K44" s="212"/>
      <c r="L44" s="212"/>
      <c r="M44" s="103"/>
    </row>
    <row r="45" spans="1:13" ht="28.5" x14ac:dyDescent="0.65">
      <c r="A45" s="177" t="str">
        <f>CONCATENATE('FFM-Functions-Activities'!B37,": ",'FFM-Functions-Activities'!D37)</f>
        <v>Receivable and Collection Management: Public Receivable Monitoring and Maintenance</v>
      </c>
      <c r="B45" s="130" t="s">
        <v>151</v>
      </c>
      <c r="C45" s="212"/>
      <c r="D45" s="212"/>
      <c r="E45" s="212"/>
      <c r="F45" s="212"/>
      <c r="G45" s="212"/>
      <c r="H45" s="212"/>
      <c r="I45" s="212"/>
      <c r="J45" s="212"/>
      <c r="K45" s="212"/>
      <c r="L45" s="212"/>
      <c r="M45" s="103"/>
    </row>
    <row r="46" spans="1:13" ht="28.5" x14ac:dyDescent="0.65">
      <c r="A46" s="177" t="str">
        <f>CONCATENATE('FFM-Functions-Activities'!B38,": ",'FFM-Functions-Activities'!D38)</f>
        <v>Receivable and Collection Management: Public Receivable and Collection Reporting</v>
      </c>
      <c r="B46" s="130" t="s">
        <v>151</v>
      </c>
      <c r="C46" s="212" t="s">
        <v>194</v>
      </c>
      <c r="D46" s="212"/>
      <c r="E46" s="212"/>
      <c r="F46" s="212"/>
      <c r="G46" s="212"/>
      <c r="H46" s="212"/>
      <c r="I46" s="212"/>
      <c r="J46" s="212"/>
      <c r="K46" s="212"/>
      <c r="L46" s="212"/>
      <c r="M46" s="103"/>
    </row>
    <row r="47" spans="1:13" x14ac:dyDescent="0.65">
      <c r="A47" s="177" t="str">
        <f>CONCATENATE('FFM-Functions-Activities'!B39,": ",'FFM-Functions-Activities'!D39)</f>
        <v>Delinquent Debt Management: Delinquent Debt Collection</v>
      </c>
      <c r="B47" s="130" t="s">
        <v>151</v>
      </c>
      <c r="C47" s="212"/>
      <c r="D47" s="212"/>
      <c r="E47" s="212"/>
      <c r="F47" s="212"/>
      <c r="G47" s="212"/>
      <c r="H47" s="212"/>
      <c r="I47" s="212"/>
      <c r="J47" s="212"/>
      <c r="K47" s="212"/>
      <c r="L47" s="212"/>
      <c r="M47" s="103"/>
    </row>
    <row r="48" spans="1:13" ht="28.5" x14ac:dyDescent="0.65">
      <c r="A48" s="177" t="str">
        <f>CONCATENATE('FFM-Functions-Activities'!B40,": ",'FFM-Functions-Activities'!D40)</f>
        <v>Delinquent Debt Management: Delinquent Debt Write-off and Closeout</v>
      </c>
      <c r="B48" s="130" t="s">
        <v>151</v>
      </c>
      <c r="C48" s="212"/>
      <c r="D48" s="212"/>
      <c r="E48" s="212"/>
      <c r="F48" s="212"/>
      <c r="G48" s="212"/>
      <c r="H48" s="212"/>
      <c r="I48" s="212"/>
      <c r="J48" s="212"/>
      <c r="K48" s="212"/>
      <c r="L48" s="212"/>
      <c r="M48" s="103"/>
    </row>
    <row r="49" spans="1:13" x14ac:dyDescent="0.65">
      <c r="A49" s="177" t="str">
        <f>CONCATENATE('FFM-Functions-Activities'!B41,": ",'FFM-Functions-Activities'!D41)</f>
        <v>Delinquent Debt Management: Delinquent Debt Reporting</v>
      </c>
      <c r="B49" s="130" t="s">
        <v>151</v>
      </c>
      <c r="C49" s="212" t="s">
        <v>194</v>
      </c>
      <c r="D49" s="212"/>
      <c r="E49" s="212"/>
      <c r="F49" s="212"/>
      <c r="G49" s="212"/>
      <c r="H49" s="212"/>
      <c r="I49" s="212"/>
      <c r="J49" s="212"/>
      <c r="K49" s="212"/>
      <c r="L49" s="212"/>
      <c r="M49" s="103"/>
    </row>
    <row r="50" spans="1:13" x14ac:dyDescent="0.65">
      <c r="A50" s="177" t="str">
        <f>CONCATENATE('FFM-Functions-Activities'!B42,": ",'FFM-Functions-Activities'!D42)</f>
        <v>Cost Management: Cost Management Setup and Maintenance</v>
      </c>
      <c r="B50" s="130" t="s">
        <v>151</v>
      </c>
      <c r="C50" s="212"/>
      <c r="D50" s="212"/>
      <c r="E50" s="212"/>
      <c r="F50" s="212"/>
      <c r="G50" s="212"/>
      <c r="H50" s="212"/>
      <c r="I50" s="212"/>
      <c r="J50" s="212"/>
      <c r="K50" s="212"/>
      <c r="L50" s="212"/>
      <c r="M50" s="103"/>
    </row>
    <row r="51" spans="1:13" x14ac:dyDescent="0.65">
      <c r="A51" s="177" t="str">
        <f>CONCATENATE('FFM-Functions-Activities'!B43,": ",'FFM-Functions-Activities'!D43)</f>
        <v>Cost Management: Cost Accumulation and Allocation</v>
      </c>
      <c r="B51" s="130" t="s">
        <v>151</v>
      </c>
      <c r="C51" s="212"/>
      <c r="D51" s="212"/>
      <c r="E51" s="212"/>
      <c r="F51" s="212"/>
      <c r="G51" s="212"/>
      <c r="H51" s="212"/>
      <c r="I51" s="212"/>
      <c r="J51" s="212"/>
      <c r="K51" s="212"/>
      <c r="L51" s="212"/>
      <c r="M51" s="103"/>
    </row>
    <row r="52" spans="1:13" x14ac:dyDescent="0.65">
      <c r="A52" s="177" t="str">
        <f>CONCATENATE('FFM-Functions-Activities'!B44,": ",'FFM-Functions-Activities'!D44)</f>
        <v>Cost Management: Cost Reporting</v>
      </c>
      <c r="B52" s="130" t="s">
        <v>151</v>
      </c>
      <c r="C52" s="212" t="s">
        <v>195</v>
      </c>
      <c r="D52" s="212"/>
      <c r="E52" s="212"/>
      <c r="F52" s="212"/>
      <c r="G52" s="212"/>
      <c r="H52" s="212"/>
      <c r="I52" s="212"/>
      <c r="J52" s="212"/>
      <c r="K52" s="212"/>
      <c r="L52" s="212"/>
      <c r="M52" s="155"/>
    </row>
    <row r="53" spans="1:13" ht="28.5" x14ac:dyDescent="0.65">
      <c r="A53" s="177" t="str">
        <f>CONCATENATE('FFM-Functions-Activities'!B45,": ",'FFM-Functions-Activities'!D45)</f>
        <v>General Ledger Management: General Ledger Setup and Maintenance</v>
      </c>
      <c r="B53" s="130" t="s">
        <v>151</v>
      </c>
      <c r="C53" s="212"/>
      <c r="D53" s="212"/>
      <c r="E53" s="212"/>
      <c r="F53" s="212"/>
      <c r="G53" s="212"/>
      <c r="H53" s="212"/>
      <c r="I53" s="212"/>
      <c r="J53" s="212"/>
      <c r="K53" s="212"/>
      <c r="L53" s="212"/>
      <c r="M53" s="103"/>
    </row>
    <row r="54" spans="1:13" x14ac:dyDescent="0.65">
      <c r="A54" s="177" t="str">
        <f>CONCATENATE('FFM-Functions-Activities'!B46,": ",'FFM-Functions-Activities'!D46)</f>
        <v>General Ledger Management: General Ledger Posting</v>
      </c>
      <c r="B54" s="130" t="s">
        <v>151</v>
      </c>
      <c r="C54" s="212"/>
      <c r="D54" s="212"/>
      <c r="E54" s="212"/>
      <c r="F54" s="212"/>
      <c r="G54" s="212"/>
      <c r="H54" s="212"/>
      <c r="I54" s="212"/>
      <c r="J54" s="212"/>
      <c r="K54" s="212"/>
      <c r="L54" s="212"/>
      <c r="M54" s="103"/>
    </row>
    <row r="55" spans="1:13" ht="28.5" x14ac:dyDescent="0.65">
      <c r="A55" s="177" t="str">
        <f>CONCATENATE('FFM-Functions-Activities'!B47,": ",'FFM-Functions-Activities'!D47)</f>
        <v xml:space="preserve">General Ledger Management: Accrual and Liability/Asset Processing </v>
      </c>
      <c r="B55" s="130" t="s">
        <v>151</v>
      </c>
      <c r="C55" s="212" t="s">
        <v>163</v>
      </c>
      <c r="D55" s="212"/>
      <c r="E55" s="212"/>
      <c r="F55" s="212"/>
      <c r="G55" s="212"/>
      <c r="H55" s="212"/>
      <c r="I55" s="212"/>
      <c r="J55" s="212"/>
      <c r="K55" s="212"/>
      <c r="L55" s="212"/>
      <c r="M55" s="103"/>
    </row>
    <row r="56" spans="1:13" x14ac:dyDescent="0.65">
      <c r="A56" s="177" t="str">
        <f>CONCATENATE('FFM-Functions-Activities'!B48,": ",'FFM-Functions-Activities'!D48)</f>
        <v>General Ledger Management: Period End Closing</v>
      </c>
      <c r="B56" s="130" t="s">
        <v>151</v>
      </c>
      <c r="C56" s="212"/>
      <c r="D56" s="212"/>
      <c r="E56" s="212"/>
      <c r="F56" s="212"/>
      <c r="G56" s="212"/>
      <c r="H56" s="212"/>
      <c r="I56" s="212"/>
      <c r="J56" s="212"/>
      <c r="K56" s="212"/>
      <c r="L56" s="212"/>
      <c r="M56" s="103"/>
    </row>
    <row r="57" spans="1:13" ht="28.5" x14ac:dyDescent="0.65">
      <c r="A57" s="177" t="str">
        <f>CONCATENATE('FFM-Functions-Activities'!B49,": ",'FFM-Functions-Activities'!D49)</f>
        <v>Financial Reconciliation: Reconciliation of General Ledger and Subledgers</v>
      </c>
      <c r="B57" s="130" t="s">
        <v>151</v>
      </c>
      <c r="C57" s="212"/>
      <c r="D57" s="212"/>
      <c r="E57" s="212"/>
      <c r="F57" s="212"/>
      <c r="G57" s="212"/>
      <c r="H57" s="212"/>
      <c r="I57" s="212"/>
      <c r="J57" s="212"/>
      <c r="K57" s="212"/>
      <c r="L57" s="212"/>
      <c r="M57" s="103"/>
    </row>
    <row r="58" spans="1:13" ht="28.5" x14ac:dyDescent="0.65">
      <c r="A58" s="177" t="str">
        <f>CONCATENATE('FFM-Functions-Activities'!B50,": ",'FFM-Functions-Activities'!D50)</f>
        <v>Financial Reconciliation: Reconciliation of Intragovernmental Activity</v>
      </c>
      <c r="B58" s="130" t="s">
        <v>151</v>
      </c>
      <c r="C58" s="212"/>
      <c r="D58" s="212"/>
      <c r="E58" s="212"/>
      <c r="F58" s="212"/>
      <c r="G58" s="212"/>
      <c r="H58" s="212"/>
      <c r="I58" s="212"/>
      <c r="J58" s="212"/>
      <c r="K58" s="212"/>
      <c r="L58" s="212"/>
      <c r="M58" s="103"/>
    </row>
    <row r="59" spans="1:13" x14ac:dyDescent="0.65">
      <c r="A59" s="177" t="str">
        <f>CONCATENATE('FFM-Functions-Activities'!B51,": ",'FFM-Functions-Activities'!D51)</f>
        <v>Financial Reconciliation: Reconciliation with Treasury Balance</v>
      </c>
      <c r="B59" s="130" t="s">
        <v>151</v>
      </c>
      <c r="C59" s="212"/>
      <c r="D59" s="212"/>
      <c r="E59" s="212"/>
      <c r="F59" s="212"/>
      <c r="G59" s="212"/>
      <c r="H59" s="212"/>
      <c r="I59" s="212"/>
      <c r="J59" s="212"/>
      <c r="K59" s="212"/>
      <c r="L59" s="212"/>
      <c r="M59" s="103"/>
    </row>
    <row r="60" spans="1:13" x14ac:dyDescent="0.65">
      <c r="A60" s="177" t="str">
        <f>CONCATENATE('FFM-Functions-Activities'!B52,": ",'FFM-Functions-Activities'!D52)</f>
        <v>Financial / Performance Reporting: Treasury Reporting</v>
      </c>
      <c r="B60" s="130" t="s">
        <v>151</v>
      </c>
      <c r="C60" s="212" t="s">
        <v>194</v>
      </c>
      <c r="D60" s="212"/>
      <c r="E60" s="212"/>
      <c r="F60" s="212"/>
      <c r="G60" s="212"/>
      <c r="H60" s="212"/>
      <c r="I60" s="212"/>
      <c r="J60" s="212"/>
      <c r="K60" s="212"/>
      <c r="L60" s="212"/>
      <c r="M60" s="103"/>
    </row>
    <row r="61" spans="1:13" ht="28.5" x14ac:dyDescent="0.65">
      <c r="A61" s="177" t="str">
        <f>CONCATENATE('FFM-Functions-Activities'!B53,": ",'FFM-Functions-Activities'!D53)</f>
        <v>Financial / Performance Reporting: Financial Statement Preparation</v>
      </c>
      <c r="B61" s="130" t="s">
        <v>151</v>
      </c>
      <c r="C61" s="212" t="s">
        <v>194</v>
      </c>
      <c r="D61" s="212"/>
      <c r="E61" s="212"/>
      <c r="F61" s="212"/>
      <c r="G61" s="212"/>
      <c r="H61" s="212"/>
      <c r="I61" s="212"/>
      <c r="J61" s="212"/>
      <c r="K61" s="212"/>
      <c r="L61" s="212"/>
      <c r="M61" s="103"/>
    </row>
    <row r="62" spans="1:13" ht="28.5" x14ac:dyDescent="0.65">
      <c r="A62" s="177" t="str">
        <f>CONCATENATE('FFM-Functions-Activities'!B54,": ",'FFM-Functions-Activities'!D54)</f>
        <v>Financial / Performance Reporting: Cash Forecasting and Reporting</v>
      </c>
      <c r="B62" s="130" t="s">
        <v>151</v>
      </c>
      <c r="C62" s="212" t="s">
        <v>195</v>
      </c>
      <c r="D62" s="212"/>
      <c r="E62" s="212"/>
      <c r="F62" s="212"/>
      <c r="G62" s="212"/>
      <c r="H62" s="212"/>
      <c r="I62" s="212"/>
      <c r="J62" s="212"/>
      <c r="K62" s="212"/>
      <c r="L62" s="212"/>
      <c r="M62" s="103"/>
    </row>
    <row r="63" spans="1:13" ht="28.5" x14ac:dyDescent="0.65">
      <c r="A63" s="177" t="str">
        <f>CONCATENATE('FFM-Functions-Activities'!B55,": ",'FFM-Functions-Activities'!D55)</f>
        <v>Financial / Performance Reporting: Financial Performance and Operational Reporting</v>
      </c>
      <c r="B63" s="130" t="s">
        <v>151</v>
      </c>
      <c r="C63" s="212" t="s">
        <v>195</v>
      </c>
      <c r="D63" s="212"/>
      <c r="E63" s="212"/>
      <c r="F63" s="212"/>
      <c r="G63" s="212"/>
      <c r="H63" s="212"/>
      <c r="I63" s="212"/>
      <c r="J63" s="212"/>
      <c r="K63" s="212"/>
      <c r="L63" s="212"/>
      <c r="M63" s="103"/>
    </row>
    <row r="64" spans="1:13" ht="28.5" customHeight="1" x14ac:dyDescent="0.65">
      <c r="A64" s="177" t="str">
        <f>CONCATENATE('FFM-Functions-Activities'!B56,": ",'FFM-Functions-Activities'!D56)</f>
        <v xml:space="preserve">Financial / Performance Reporting: Internal Control/Compliance Reviews </v>
      </c>
      <c r="B64" s="130" t="s">
        <v>151</v>
      </c>
      <c r="C64" s="212" t="s">
        <v>195</v>
      </c>
      <c r="D64" s="212"/>
      <c r="E64" s="212"/>
      <c r="F64" s="212"/>
      <c r="G64" s="212"/>
      <c r="H64" s="212"/>
      <c r="I64" s="212"/>
      <c r="J64" s="212"/>
      <c r="K64" s="212"/>
      <c r="L64" s="212"/>
      <c r="M64" s="103"/>
    </row>
    <row r="65" spans="1:13" x14ac:dyDescent="0.65">
      <c r="A65" s="177"/>
      <c r="B65" s="177"/>
      <c r="C65" s="203"/>
      <c r="D65" s="203"/>
      <c r="E65" s="203"/>
      <c r="F65" s="203"/>
      <c r="G65" s="203"/>
      <c r="H65" s="203"/>
      <c r="I65" s="203"/>
      <c r="J65" s="203"/>
      <c r="K65" s="203"/>
      <c r="L65" s="203"/>
      <c r="M65" s="155"/>
    </row>
    <row r="66" spans="1:13" s="102" customFormat="1" x14ac:dyDescent="0.65">
      <c r="A66" s="108" t="s">
        <v>56</v>
      </c>
      <c r="D66" s="210"/>
      <c r="E66" s="210"/>
      <c r="F66" s="210"/>
      <c r="G66" s="210"/>
      <c r="H66" s="210"/>
      <c r="I66" s="210"/>
      <c r="J66" s="210"/>
      <c r="K66" s="210"/>
      <c r="L66" s="210"/>
    </row>
    <row r="67" spans="1:13" s="46" customFormat="1" ht="14.5" x14ac:dyDescent="0.7">
      <c r="A67" s="45" t="s">
        <v>57</v>
      </c>
      <c r="B67" s="215" t="s">
        <v>58</v>
      </c>
      <c r="C67" s="215"/>
      <c r="D67" s="215"/>
      <c r="E67" s="215"/>
      <c r="F67" s="215"/>
      <c r="G67" s="215"/>
      <c r="H67" s="215" t="s">
        <v>59</v>
      </c>
      <c r="I67" s="215"/>
      <c r="J67" s="215" t="s">
        <v>60</v>
      </c>
      <c r="K67" s="215"/>
      <c r="L67" s="208" t="s">
        <v>61</v>
      </c>
      <c r="M67" s="178"/>
    </row>
    <row r="68" spans="1:13" s="46" customFormat="1" ht="14.5" x14ac:dyDescent="0.7">
      <c r="A68" s="45" t="s">
        <v>62</v>
      </c>
      <c r="B68" s="199" t="s">
        <v>63</v>
      </c>
      <c r="C68" s="201" t="s">
        <v>64</v>
      </c>
      <c r="D68" s="199" t="s">
        <v>65</v>
      </c>
      <c r="E68" s="199" t="s">
        <v>66</v>
      </c>
      <c r="F68" s="201" t="s">
        <v>67</v>
      </c>
      <c r="G68" s="199" t="s">
        <v>68</v>
      </c>
      <c r="H68" s="199" t="s">
        <v>69</v>
      </c>
      <c r="I68" s="201" t="s">
        <v>70</v>
      </c>
      <c r="J68" s="199" t="s">
        <v>69</v>
      </c>
      <c r="K68" s="201" t="s">
        <v>70</v>
      </c>
      <c r="L68" s="208"/>
      <c r="M68" s="178"/>
    </row>
    <row r="69" spans="1:13" s="46" customFormat="1" ht="14.5" x14ac:dyDescent="0.7">
      <c r="A69" s="47" t="s">
        <v>21</v>
      </c>
      <c r="B69" s="199"/>
      <c r="C69" s="199"/>
      <c r="D69" s="199"/>
      <c r="E69" s="199"/>
      <c r="F69" s="199"/>
      <c r="G69" s="199"/>
      <c r="H69" s="199"/>
      <c r="I69" s="199"/>
      <c r="J69" s="199"/>
      <c r="K69" s="199"/>
      <c r="L69" s="208"/>
      <c r="M69" s="178"/>
    </row>
    <row r="70" spans="1:13" s="50" customFormat="1" ht="14.5" x14ac:dyDescent="0.7">
      <c r="A70" s="48" t="s">
        <v>71</v>
      </c>
      <c r="B70" s="49"/>
      <c r="C70" s="49"/>
      <c r="D70" s="49"/>
      <c r="E70" s="49"/>
      <c r="F70" s="49"/>
      <c r="G70" s="49"/>
      <c r="H70" s="49"/>
      <c r="I70" s="49"/>
      <c r="J70" s="49"/>
      <c r="K70" s="49"/>
      <c r="L70" s="49"/>
    </row>
    <row r="71" spans="1:13" s="46" customFormat="1" x14ac:dyDescent="0.65">
      <c r="A71" s="177" t="s">
        <v>72</v>
      </c>
      <c r="B71" s="177" t="s">
        <v>164</v>
      </c>
      <c r="C71" s="177" t="s">
        <v>164</v>
      </c>
      <c r="D71" s="177" t="s">
        <v>164</v>
      </c>
      <c r="E71" s="177" t="s">
        <v>164</v>
      </c>
      <c r="F71" s="177" t="s">
        <v>164</v>
      </c>
      <c r="G71" s="130" t="s">
        <v>151</v>
      </c>
      <c r="H71" s="130" t="s">
        <v>151</v>
      </c>
      <c r="I71" s="130" t="s">
        <v>151</v>
      </c>
      <c r="J71" s="177" t="s">
        <v>164</v>
      </c>
      <c r="K71" s="130" t="s">
        <v>151</v>
      </c>
      <c r="L71" s="177" t="s">
        <v>165</v>
      </c>
      <c r="M71" s="178"/>
    </row>
    <row r="72" spans="1:13" s="46" customFormat="1" x14ac:dyDescent="0.65">
      <c r="A72" s="177" t="s">
        <v>73</v>
      </c>
      <c r="B72" s="177" t="s">
        <v>164</v>
      </c>
      <c r="C72" s="177" t="s">
        <v>164</v>
      </c>
      <c r="D72" s="177" t="s">
        <v>164</v>
      </c>
      <c r="E72" s="177" t="s">
        <v>164</v>
      </c>
      <c r="F72" s="177" t="s">
        <v>164</v>
      </c>
      <c r="G72" s="130" t="s">
        <v>151</v>
      </c>
      <c r="H72" s="130" t="s">
        <v>151</v>
      </c>
      <c r="I72" s="130" t="s">
        <v>151</v>
      </c>
      <c r="J72" s="177" t="s">
        <v>164</v>
      </c>
      <c r="K72" s="130" t="s">
        <v>151</v>
      </c>
      <c r="L72" s="177" t="s">
        <v>165</v>
      </c>
      <c r="M72" s="178"/>
    </row>
    <row r="73" spans="1:13" s="46" customFormat="1" x14ac:dyDescent="0.65">
      <c r="A73" s="177" t="s">
        <v>74</v>
      </c>
      <c r="B73" s="177" t="s">
        <v>164</v>
      </c>
      <c r="C73" s="177" t="s">
        <v>164</v>
      </c>
      <c r="D73" s="177" t="s">
        <v>164</v>
      </c>
      <c r="E73" s="177" t="s">
        <v>164</v>
      </c>
      <c r="F73" s="130" t="s">
        <v>151</v>
      </c>
      <c r="G73" s="177" t="s">
        <v>164</v>
      </c>
      <c r="H73" s="130" t="s">
        <v>151</v>
      </c>
      <c r="I73" s="177" t="s">
        <v>164</v>
      </c>
      <c r="J73" s="177" t="s">
        <v>164</v>
      </c>
      <c r="K73" s="177" t="s">
        <v>164</v>
      </c>
      <c r="L73" s="177"/>
      <c r="M73" s="178"/>
    </row>
    <row r="74" spans="1:13" s="46" customFormat="1" x14ac:dyDescent="0.65">
      <c r="A74" s="177" t="s">
        <v>75</v>
      </c>
      <c r="B74" s="177" t="s">
        <v>164</v>
      </c>
      <c r="C74" s="177" t="s">
        <v>164</v>
      </c>
      <c r="D74" s="177" t="s">
        <v>164</v>
      </c>
      <c r="E74" s="177" t="s">
        <v>164</v>
      </c>
      <c r="F74" s="130" t="s">
        <v>151</v>
      </c>
      <c r="G74" s="177" t="s">
        <v>164</v>
      </c>
      <c r="H74" s="130" t="s">
        <v>151</v>
      </c>
      <c r="I74" s="177" t="s">
        <v>164</v>
      </c>
      <c r="J74" s="177" t="s">
        <v>164</v>
      </c>
      <c r="K74" s="177" t="s">
        <v>164</v>
      </c>
      <c r="L74" s="177"/>
      <c r="M74" s="178"/>
    </row>
    <row r="75" spans="1:13" s="46" customFormat="1" x14ac:dyDescent="0.65">
      <c r="A75" s="177" t="s">
        <v>76</v>
      </c>
      <c r="B75" s="177" t="s">
        <v>164</v>
      </c>
      <c r="C75" s="177" t="s">
        <v>164</v>
      </c>
      <c r="D75" s="177" t="s">
        <v>164</v>
      </c>
      <c r="E75" s="177" t="s">
        <v>164</v>
      </c>
      <c r="F75" s="130" t="s">
        <v>151</v>
      </c>
      <c r="G75" s="177" t="s">
        <v>164</v>
      </c>
      <c r="H75" s="130" t="s">
        <v>151</v>
      </c>
      <c r="I75" s="177" t="s">
        <v>164</v>
      </c>
      <c r="J75" s="177" t="s">
        <v>164</v>
      </c>
      <c r="K75" s="177" t="s">
        <v>164</v>
      </c>
      <c r="L75" s="177"/>
      <c r="M75" s="178"/>
    </row>
    <row r="76" spans="1:13" s="46" customFormat="1" x14ac:dyDescent="0.65">
      <c r="A76" s="177" t="s">
        <v>77</v>
      </c>
      <c r="B76" s="177" t="s">
        <v>164</v>
      </c>
      <c r="C76" s="177" t="s">
        <v>164</v>
      </c>
      <c r="D76" s="177" t="s">
        <v>164</v>
      </c>
      <c r="E76" s="177" t="s">
        <v>164</v>
      </c>
      <c r="F76" s="130" t="s">
        <v>151</v>
      </c>
      <c r="G76" s="177" t="s">
        <v>164</v>
      </c>
      <c r="H76" s="130" t="s">
        <v>151</v>
      </c>
      <c r="I76" s="177" t="s">
        <v>164</v>
      </c>
      <c r="J76" s="177" t="s">
        <v>164</v>
      </c>
      <c r="K76" s="177" t="s">
        <v>164</v>
      </c>
      <c r="L76" s="177"/>
      <c r="M76" s="178"/>
    </row>
    <row r="77" spans="1:13" s="46" customFormat="1" x14ac:dyDescent="0.65">
      <c r="A77" s="177" t="s">
        <v>78</v>
      </c>
      <c r="B77" s="177" t="s">
        <v>164</v>
      </c>
      <c r="C77" s="177" t="s">
        <v>164</v>
      </c>
      <c r="D77" s="177" t="s">
        <v>164</v>
      </c>
      <c r="E77" s="177" t="s">
        <v>164</v>
      </c>
      <c r="F77" s="177" t="s">
        <v>164</v>
      </c>
      <c r="G77" s="130" t="s">
        <v>151</v>
      </c>
      <c r="H77" s="130" t="s">
        <v>151</v>
      </c>
      <c r="I77" s="130" t="s">
        <v>151</v>
      </c>
      <c r="J77" s="177" t="s">
        <v>164</v>
      </c>
      <c r="K77" s="130" t="s">
        <v>151</v>
      </c>
      <c r="L77" s="177" t="s">
        <v>165</v>
      </c>
      <c r="M77" s="178"/>
    </row>
    <row r="78" spans="1:13" s="46" customFormat="1" ht="28.5" x14ac:dyDescent="0.65">
      <c r="A78" s="177" t="s">
        <v>79</v>
      </c>
      <c r="B78" s="177" t="s">
        <v>164</v>
      </c>
      <c r="C78" s="177" t="s">
        <v>164</v>
      </c>
      <c r="D78" s="177" t="s">
        <v>164</v>
      </c>
      <c r="E78" s="177" t="s">
        <v>164</v>
      </c>
      <c r="F78" s="177" t="s">
        <v>164</v>
      </c>
      <c r="G78" s="130" t="s">
        <v>151</v>
      </c>
      <c r="H78" s="130" t="s">
        <v>151</v>
      </c>
      <c r="I78" s="130" t="s">
        <v>151</v>
      </c>
      <c r="J78" s="177" t="s">
        <v>164</v>
      </c>
      <c r="K78" s="177" t="s">
        <v>164</v>
      </c>
      <c r="L78" s="177" t="s">
        <v>166</v>
      </c>
      <c r="M78" s="178"/>
    </row>
    <row r="79" spans="1:13" s="46" customFormat="1" x14ac:dyDescent="0.65">
      <c r="A79" s="177" t="s">
        <v>80</v>
      </c>
      <c r="B79" s="177" t="s">
        <v>164</v>
      </c>
      <c r="C79" s="177" t="s">
        <v>164</v>
      </c>
      <c r="D79" s="177" t="s">
        <v>164</v>
      </c>
      <c r="E79" s="177" t="s">
        <v>164</v>
      </c>
      <c r="F79" s="177" t="s">
        <v>164</v>
      </c>
      <c r="G79" s="130" t="s">
        <v>151</v>
      </c>
      <c r="H79" s="130" t="s">
        <v>151</v>
      </c>
      <c r="I79" s="130" t="s">
        <v>151</v>
      </c>
      <c r="J79" s="177" t="s">
        <v>164</v>
      </c>
      <c r="K79" s="177" t="s">
        <v>164</v>
      </c>
      <c r="L79" s="177" t="s">
        <v>165</v>
      </c>
      <c r="M79" s="178"/>
    </row>
    <row r="80" spans="1:13" s="46" customFormat="1" x14ac:dyDescent="0.65">
      <c r="A80" s="177" t="s">
        <v>81</v>
      </c>
      <c r="B80" s="177" t="s">
        <v>164</v>
      </c>
      <c r="C80" s="177" t="s">
        <v>164</v>
      </c>
      <c r="D80" s="177" t="s">
        <v>164</v>
      </c>
      <c r="E80" s="177" t="s">
        <v>164</v>
      </c>
      <c r="F80" s="177" t="s">
        <v>164</v>
      </c>
      <c r="G80" s="130" t="s">
        <v>151</v>
      </c>
      <c r="H80" s="130" t="s">
        <v>151</v>
      </c>
      <c r="I80" s="130" t="s">
        <v>151</v>
      </c>
      <c r="J80" s="177" t="s">
        <v>164</v>
      </c>
      <c r="K80" s="177" t="s">
        <v>164</v>
      </c>
      <c r="L80" s="177" t="s">
        <v>165</v>
      </c>
      <c r="M80" s="178"/>
    </row>
    <row r="81" spans="1:12" s="46" customFormat="1" x14ac:dyDescent="0.65">
      <c r="A81" s="177" t="s">
        <v>82</v>
      </c>
      <c r="B81" s="177" t="s">
        <v>164</v>
      </c>
      <c r="C81" s="177" t="s">
        <v>164</v>
      </c>
      <c r="D81" s="177" t="s">
        <v>164</v>
      </c>
      <c r="E81" s="177" t="s">
        <v>164</v>
      </c>
      <c r="F81" s="177" t="s">
        <v>164</v>
      </c>
      <c r="G81" s="130" t="s">
        <v>151</v>
      </c>
      <c r="H81" s="130" t="s">
        <v>151</v>
      </c>
      <c r="I81" s="130" t="s">
        <v>151</v>
      </c>
      <c r="J81" s="177" t="s">
        <v>164</v>
      </c>
      <c r="K81" s="177" t="s">
        <v>164</v>
      </c>
      <c r="L81" s="177" t="s">
        <v>165</v>
      </c>
    </row>
    <row r="82" spans="1:12" s="46" customFormat="1" x14ac:dyDescent="0.65">
      <c r="A82" s="177" t="s">
        <v>83</v>
      </c>
      <c r="B82" s="177" t="s">
        <v>164</v>
      </c>
      <c r="C82" s="177" t="s">
        <v>164</v>
      </c>
      <c r="D82" s="177" t="s">
        <v>164</v>
      </c>
      <c r="E82" s="130" t="s">
        <v>151</v>
      </c>
      <c r="F82" s="177" t="s">
        <v>164</v>
      </c>
      <c r="G82" s="177" t="s">
        <v>164</v>
      </c>
      <c r="H82" s="130" t="s">
        <v>151</v>
      </c>
      <c r="I82" s="130" t="s">
        <v>151</v>
      </c>
      <c r="J82" s="177" t="s">
        <v>164</v>
      </c>
      <c r="K82" s="130" t="s">
        <v>151</v>
      </c>
      <c r="L82" s="177"/>
    </row>
    <row r="83" spans="1:12" s="46" customFormat="1" x14ac:dyDescent="0.65">
      <c r="A83" s="177" t="s">
        <v>84</v>
      </c>
      <c r="B83" s="177" t="s">
        <v>164</v>
      </c>
      <c r="C83" s="177" t="s">
        <v>164</v>
      </c>
      <c r="D83" s="177" t="s">
        <v>164</v>
      </c>
      <c r="E83" s="130" t="s">
        <v>151</v>
      </c>
      <c r="F83" s="177" t="s">
        <v>164</v>
      </c>
      <c r="G83" s="177" t="s">
        <v>164</v>
      </c>
      <c r="H83" s="130" t="s">
        <v>151</v>
      </c>
      <c r="I83" s="130" t="s">
        <v>151</v>
      </c>
      <c r="J83" s="177" t="s">
        <v>164</v>
      </c>
      <c r="K83" s="130" t="s">
        <v>151</v>
      </c>
      <c r="L83" s="177"/>
    </row>
    <row r="84" spans="1:12" s="46" customFormat="1" x14ac:dyDescent="0.65">
      <c r="A84" s="177" t="s">
        <v>85</v>
      </c>
      <c r="B84" s="177" t="s">
        <v>164</v>
      </c>
      <c r="C84" s="177" t="s">
        <v>164</v>
      </c>
      <c r="D84" s="177" t="s">
        <v>164</v>
      </c>
      <c r="E84" s="130" t="s">
        <v>151</v>
      </c>
      <c r="F84" s="177" t="s">
        <v>164</v>
      </c>
      <c r="G84" s="177" t="s">
        <v>164</v>
      </c>
      <c r="H84" s="130" t="s">
        <v>151</v>
      </c>
      <c r="I84" s="130" t="s">
        <v>151</v>
      </c>
      <c r="J84" s="177" t="s">
        <v>164</v>
      </c>
      <c r="K84" s="130" t="s">
        <v>151</v>
      </c>
      <c r="L84" s="177"/>
    </row>
    <row r="85" spans="1:12" s="46" customFormat="1" x14ac:dyDescent="0.65">
      <c r="A85" s="177" t="s">
        <v>86</v>
      </c>
      <c r="B85" s="177" t="s">
        <v>164</v>
      </c>
      <c r="C85" s="177" t="s">
        <v>164</v>
      </c>
      <c r="D85" s="177" t="s">
        <v>164</v>
      </c>
      <c r="E85" s="130" t="s">
        <v>151</v>
      </c>
      <c r="F85" s="177" t="s">
        <v>164</v>
      </c>
      <c r="G85" s="177" t="s">
        <v>164</v>
      </c>
      <c r="H85" s="130" t="s">
        <v>151</v>
      </c>
      <c r="I85" s="130" t="s">
        <v>151</v>
      </c>
      <c r="J85" s="177" t="s">
        <v>164</v>
      </c>
      <c r="K85" s="130" t="s">
        <v>151</v>
      </c>
      <c r="L85" s="177"/>
    </row>
    <row r="86" spans="1:12" s="46" customFormat="1" ht="28.5" x14ac:dyDescent="0.65">
      <c r="A86" s="177" t="s">
        <v>87</v>
      </c>
      <c r="B86" s="177" t="s">
        <v>164</v>
      </c>
      <c r="C86" s="177" t="s">
        <v>164</v>
      </c>
      <c r="D86" s="177" t="s">
        <v>164</v>
      </c>
      <c r="E86" s="177" t="s">
        <v>164</v>
      </c>
      <c r="F86" s="177" t="s">
        <v>164</v>
      </c>
      <c r="G86" s="177" t="s">
        <v>164</v>
      </c>
      <c r="H86" s="177" t="s">
        <v>164</v>
      </c>
      <c r="I86" s="177" t="s">
        <v>164</v>
      </c>
      <c r="J86" s="177" t="s">
        <v>164</v>
      </c>
      <c r="K86" s="177" t="s">
        <v>164</v>
      </c>
      <c r="L86" s="177"/>
    </row>
    <row r="87" spans="1:12" s="46" customFormat="1" x14ac:dyDescent="0.65">
      <c r="A87" s="135" t="s">
        <v>88</v>
      </c>
      <c r="B87" s="177" t="s">
        <v>164</v>
      </c>
      <c r="C87" s="177" t="s">
        <v>164</v>
      </c>
      <c r="D87" s="177" t="s">
        <v>164</v>
      </c>
      <c r="E87" s="177" t="s">
        <v>164</v>
      </c>
      <c r="F87" s="177" t="s">
        <v>164</v>
      </c>
      <c r="G87" s="177" t="s">
        <v>164</v>
      </c>
      <c r="H87" s="177" t="s">
        <v>164</v>
      </c>
      <c r="I87" s="177" t="s">
        <v>164</v>
      </c>
      <c r="J87" s="177" t="s">
        <v>164</v>
      </c>
      <c r="K87" s="177" t="s">
        <v>164</v>
      </c>
      <c r="L87" s="177"/>
    </row>
    <row r="88" spans="1:12" s="46" customFormat="1" ht="28.5" x14ac:dyDescent="0.65">
      <c r="A88" s="135" t="s">
        <v>89</v>
      </c>
      <c r="B88" s="177" t="s">
        <v>164</v>
      </c>
      <c r="C88" s="177" t="s">
        <v>164</v>
      </c>
      <c r="D88" s="177" t="s">
        <v>164</v>
      </c>
      <c r="E88" s="177" t="s">
        <v>164</v>
      </c>
      <c r="F88" s="177" t="s">
        <v>164</v>
      </c>
      <c r="G88" s="177" t="s">
        <v>164</v>
      </c>
      <c r="H88" s="177" t="s">
        <v>164</v>
      </c>
      <c r="I88" s="177" t="s">
        <v>164</v>
      </c>
      <c r="J88" s="177" t="s">
        <v>164</v>
      </c>
      <c r="K88" s="177" t="s">
        <v>164</v>
      </c>
      <c r="L88" s="177"/>
    </row>
    <row r="89" spans="1:12" s="46" customFormat="1" x14ac:dyDescent="0.65">
      <c r="A89" s="135" t="s">
        <v>90</v>
      </c>
      <c r="B89" s="177" t="s">
        <v>164</v>
      </c>
      <c r="C89" s="177" t="s">
        <v>164</v>
      </c>
      <c r="D89" s="177" t="s">
        <v>164</v>
      </c>
      <c r="E89" s="177" t="s">
        <v>151</v>
      </c>
      <c r="F89" s="177" t="s">
        <v>164</v>
      </c>
      <c r="G89" s="177" t="s">
        <v>164</v>
      </c>
      <c r="H89" s="177" t="s">
        <v>164</v>
      </c>
      <c r="I89" s="177" t="s">
        <v>164</v>
      </c>
      <c r="J89" s="177" t="s">
        <v>164</v>
      </c>
      <c r="K89" s="177" t="s">
        <v>164</v>
      </c>
      <c r="L89" s="177"/>
    </row>
    <row r="90" spans="1:12" s="46" customFormat="1" x14ac:dyDescent="0.65">
      <c r="A90" s="135" t="s">
        <v>91</v>
      </c>
      <c r="B90" s="177" t="s">
        <v>164</v>
      </c>
      <c r="C90" s="177" t="s">
        <v>164</v>
      </c>
      <c r="D90" s="177" t="s">
        <v>164</v>
      </c>
      <c r="E90" s="177" t="s">
        <v>151</v>
      </c>
      <c r="F90" s="177" t="s">
        <v>164</v>
      </c>
      <c r="G90" s="177" t="s">
        <v>164</v>
      </c>
      <c r="H90" s="177" t="s">
        <v>164</v>
      </c>
      <c r="I90" s="177" t="s">
        <v>164</v>
      </c>
      <c r="J90" s="177" t="s">
        <v>164</v>
      </c>
      <c r="K90" s="177" t="s">
        <v>164</v>
      </c>
      <c r="L90" s="177"/>
    </row>
    <row r="91" spans="1:12" s="46" customFormat="1" x14ac:dyDescent="0.65">
      <c r="A91" s="135" t="s">
        <v>92</v>
      </c>
      <c r="B91" s="177" t="s">
        <v>164</v>
      </c>
      <c r="C91" s="177" t="s">
        <v>164</v>
      </c>
      <c r="D91" s="177" t="s">
        <v>164</v>
      </c>
      <c r="E91" s="177" t="s">
        <v>151</v>
      </c>
      <c r="F91" s="177" t="s">
        <v>164</v>
      </c>
      <c r="G91" s="177" t="s">
        <v>164</v>
      </c>
      <c r="H91" s="177" t="s">
        <v>164</v>
      </c>
      <c r="I91" s="177" t="s">
        <v>164</v>
      </c>
      <c r="J91" s="177" t="s">
        <v>164</v>
      </c>
      <c r="K91" s="177" t="s">
        <v>164</v>
      </c>
      <c r="L91" s="177"/>
    </row>
    <row r="92" spans="1:12" s="46" customFormat="1" x14ac:dyDescent="0.65">
      <c r="A92" s="135" t="s">
        <v>93</v>
      </c>
      <c r="B92" s="177" t="s">
        <v>164</v>
      </c>
      <c r="C92" s="177" t="s">
        <v>164</v>
      </c>
      <c r="D92" s="177" t="s">
        <v>164</v>
      </c>
      <c r="E92" s="177" t="s">
        <v>151</v>
      </c>
      <c r="F92" s="177" t="s">
        <v>164</v>
      </c>
      <c r="G92" s="177" t="s">
        <v>164</v>
      </c>
      <c r="H92" s="177" t="s">
        <v>164</v>
      </c>
      <c r="I92" s="177" t="s">
        <v>164</v>
      </c>
      <c r="J92" s="177" t="s">
        <v>164</v>
      </c>
      <c r="K92" s="177" t="s">
        <v>164</v>
      </c>
      <c r="L92" s="177"/>
    </row>
    <row r="93" spans="1:12" s="50" customFormat="1" ht="14.5" x14ac:dyDescent="0.65">
      <c r="A93" s="149" t="s">
        <v>94</v>
      </c>
      <c r="B93" s="150"/>
      <c r="C93" s="150"/>
      <c r="D93" s="150"/>
      <c r="E93" s="150"/>
      <c r="F93" s="150"/>
      <c r="G93" s="150"/>
      <c r="H93" s="150"/>
      <c r="I93" s="150"/>
      <c r="J93" s="150"/>
      <c r="K93" s="150"/>
      <c r="L93" s="150"/>
    </row>
    <row r="94" spans="1:12" s="46" customFormat="1" x14ac:dyDescent="0.65">
      <c r="A94" s="177" t="s">
        <v>95</v>
      </c>
      <c r="B94" s="177" t="s">
        <v>164</v>
      </c>
      <c r="C94" s="177" t="s">
        <v>164</v>
      </c>
      <c r="D94" s="177" t="s">
        <v>164</v>
      </c>
      <c r="E94" s="177" t="s">
        <v>164</v>
      </c>
      <c r="F94" s="177" t="s">
        <v>164</v>
      </c>
      <c r="G94" s="130" t="s">
        <v>151</v>
      </c>
      <c r="H94" s="177" t="s">
        <v>164</v>
      </c>
      <c r="I94" s="177" t="s">
        <v>164</v>
      </c>
      <c r="J94" s="177" t="s">
        <v>164</v>
      </c>
      <c r="K94" s="177" t="s">
        <v>164</v>
      </c>
      <c r="L94" s="177" t="s">
        <v>169</v>
      </c>
    </row>
    <row r="95" spans="1:12" s="46" customFormat="1" x14ac:dyDescent="0.65">
      <c r="A95" s="177" t="s">
        <v>96</v>
      </c>
      <c r="B95" s="130" t="s">
        <v>151</v>
      </c>
      <c r="C95" s="177" t="s">
        <v>164</v>
      </c>
      <c r="D95" s="177" t="s">
        <v>164</v>
      </c>
      <c r="E95" s="177" t="s">
        <v>164</v>
      </c>
      <c r="F95" s="177" t="s">
        <v>164</v>
      </c>
      <c r="G95" s="177" t="s">
        <v>164</v>
      </c>
      <c r="H95" s="177" t="s">
        <v>164</v>
      </c>
      <c r="I95" s="177" t="s">
        <v>164</v>
      </c>
      <c r="J95" s="177" t="s">
        <v>164</v>
      </c>
      <c r="K95" s="177" t="s">
        <v>164</v>
      </c>
      <c r="L95" s="177"/>
    </row>
    <row r="96" spans="1:12" s="46" customFormat="1" x14ac:dyDescent="0.65">
      <c r="A96" s="177" t="s">
        <v>97</v>
      </c>
      <c r="B96" s="130" t="s">
        <v>151</v>
      </c>
      <c r="C96" s="177" t="s">
        <v>164</v>
      </c>
      <c r="D96" s="177" t="s">
        <v>164</v>
      </c>
      <c r="E96" s="177" t="s">
        <v>164</v>
      </c>
      <c r="F96" s="177" t="s">
        <v>164</v>
      </c>
      <c r="G96" s="177" t="s">
        <v>164</v>
      </c>
      <c r="H96" s="177" t="s">
        <v>164</v>
      </c>
      <c r="I96" s="177" t="s">
        <v>164</v>
      </c>
      <c r="J96" s="177" t="s">
        <v>164</v>
      </c>
      <c r="K96" s="177" t="s">
        <v>164</v>
      </c>
      <c r="L96" s="177" t="s">
        <v>170</v>
      </c>
    </row>
    <row r="97" spans="1:12" s="46" customFormat="1" x14ac:dyDescent="0.65">
      <c r="A97" s="177" t="s">
        <v>98</v>
      </c>
      <c r="B97" s="130" t="s">
        <v>151</v>
      </c>
      <c r="C97" s="177" t="s">
        <v>164</v>
      </c>
      <c r="D97" s="177" t="s">
        <v>164</v>
      </c>
      <c r="E97" s="177" t="s">
        <v>164</v>
      </c>
      <c r="F97" s="177" t="s">
        <v>164</v>
      </c>
      <c r="G97" s="177" t="s">
        <v>164</v>
      </c>
      <c r="H97" s="177" t="s">
        <v>164</v>
      </c>
      <c r="I97" s="177" t="s">
        <v>164</v>
      </c>
      <c r="J97" s="177" t="s">
        <v>164</v>
      </c>
      <c r="K97" s="177" t="s">
        <v>164</v>
      </c>
      <c r="L97" s="177" t="s">
        <v>170</v>
      </c>
    </row>
    <row r="98" spans="1:12" s="46" customFormat="1" x14ac:dyDescent="0.65">
      <c r="A98" s="177" t="s">
        <v>99</v>
      </c>
      <c r="B98" s="177" t="s">
        <v>164</v>
      </c>
      <c r="C98" s="177" t="s">
        <v>164</v>
      </c>
      <c r="D98" s="177" t="s">
        <v>164</v>
      </c>
      <c r="E98" s="177" t="s">
        <v>164</v>
      </c>
      <c r="F98" s="177" t="s">
        <v>164</v>
      </c>
      <c r="G98" s="177" t="s">
        <v>164</v>
      </c>
      <c r="H98" s="177" t="s">
        <v>164</v>
      </c>
      <c r="I98" s="177" t="s">
        <v>164</v>
      </c>
      <c r="J98" s="177" t="s">
        <v>164</v>
      </c>
      <c r="K98" s="177" t="s">
        <v>164</v>
      </c>
      <c r="L98" s="177"/>
    </row>
    <row r="99" spans="1:12" s="46" customFormat="1" ht="28.5" x14ac:dyDescent="0.65">
      <c r="A99" s="177" t="s">
        <v>100</v>
      </c>
      <c r="B99" s="177" t="s">
        <v>164</v>
      </c>
      <c r="C99" s="177" t="s">
        <v>164</v>
      </c>
      <c r="D99" s="177" t="s">
        <v>164</v>
      </c>
      <c r="E99" s="177" t="s">
        <v>164</v>
      </c>
      <c r="F99" s="177" t="s">
        <v>164</v>
      </c>
      <c r="G99" s="177" t="s">
        <v>164</v>
      </c>
      <c r="H99" s="177" t="s">
        <v>164</v>
      </c>
      <c r="I99" s="177" t="s">
        <v>164</v>
      </c>
      <c r="J99" s="177" t="s">
        <v>164</v>
      </c>
      <c r="K99" s="177" t="s">
        <v>164</v>
      </c>
      <c r="L99" s="177"/>
    </row>
    <row r="100" spans="1:12" s="46" customFormat="1" ht="28.5" x14ac:dyDescent="0.65">
      <c r="A100" s="177" t="s">
        <v>101</v>
      </c>
      <c r="B100" s="177" t="s">
        <v>164</v>
      </c>
      <c r="C100" s="177" t="s">
        <v>164</v>
      </c>
      <c r="D100" s="177" t="s">
        <v>164</v>
      </c>
      <c r="E100" s="177" t="s">
        <v>164</v>
      </c>
      <c r="F100" s="177" t="s">
        <v>164</v>
      </c>
      <c r="G100" s="177" t="s">
        <v>164</v>
      </c>
      <c r="H100" s="177" t="s">
        <v>164</v>
      </c>
      <c r="I100" s="177" t="s">
        <v>164</v>
      </c>
      <c r="J100" s="177" t="s">
        <v>164</v>
      </c>
      <c r="K100" s="177" t="s">
        <v>164</v>
      </c>
      <c r="L100" s="177"/>
    </row>
    <row r="101" spans="1:12" s="46" customFormat="1" ht="42.75" x14ac:dyDescent="0.65">
      <c r="A101" s="177" t="s">
        <v>102</v>
      </c>
      <c r="B101" s="177" t="s">
        <v>164</v>
      </c>
      <c r="C101" s="132" t="s">
        <v>171</v>
      </c>
      <c r="D101" s="132" t="s">
        <v>171</v>
      </c>
      <c r="E101" s="132" t="s">
        <v>171</v>
      </c>
      <c r="F101" s="177" t="s">
        <v>164</v>
      </c>
      <c r="G101" s="177" t="s">
        <v>164</v>
      </c>
      <c r="H101" s="132" t="s">
        <v>171</v>
      </c>
      <c r="I101" s="132" t="s">
        <v>171</v>
      </c>
      <c r="J101" s="177" t="s">
        <v>164</v>
      </c>
      <c r="K101" s="177" t="s">
        <v>164</v>
      </c>
      <c r="L101" s="177" t="s">
        <v>172</v>
      </c>
    </row>
    <row r="102" spans="1:12" s="46" customFormat="1" x14ac:dyDescent="0.65">
      <c r="A102" s="177" t="s">
        <v>103</v>
      </c>
      <c r="B102" s="177" t="s">
        <v>164</v>
      </c>
      <c r="C102" s="177" t="s">
        <v>164</v>
      </c>
      <c r="D102" s="177" t="s">
        <v>164</v>
      </c>
      <c r="E102" s="177" t="s">
        <v>164</v>
      </c>
      <c r="F102" s="177" t="s">
        <v>164</v>
      </c>
      <c r="G102" s="177" t="s">
        <v>164</v>
      </c>
      <c r="H102" s="177" t="s">
        <v>164</v>
      </c>
      <c r="I102" s="177" t="s">
        <v>164</v>
      </c>
      <c r="J102" s="177" t="s">
        <v>164</v>
      </c>
      <c r="K102" s="177" t="s">
        <v>164</v>
      </c>
      <c r="L102" s="177"/>
    </row>
    <row r="103" spans="1:12" s="46" customFormat="1" ht="42.75" x14ac:dyDescent="0.65">
      <c r="A103" s="177" t="s">
        <v>104</v>
      </c>
      <c r="B103" s="177" t="s">
        <v>164</v>
      </c>
      <c r="C103" s="132" t="s">
        <v>171</v>
      </c>
      <c r="D103" s="132" t="s">
        <v>171</v>
      </c>
      <c r="E103" s="132" t="s">
        <v>171</v>
      </c>
      <c r="F103" s="177" t="s">
        <v>164</v>
      </c>
      <c r="G103" s="177" t="s">
        <v>164</v>
      </c>
      <c r="H103" s="132" t="s">
        <v>171</v>
      </c>
      <c r="I103" s="132" t="s">
        <v>171</v>
      </c>
      <c r="J103" s="177" t="s">
        <v>164</v>
      </c>
      <c r="K103" s="177" t="s">
        <v>164</v>
      </c>
      <c r="L103" s="177" t="s">
        <v>172</v>
      </c>
    </row>
    <row r="104" spans="1:12" s="50" customFormat="1" ht="14.5" x14ac:dyDescent="0.65">
      <c r="A104" s="149" t="s">
        <v>105</v>
      </c>
      <c r="B104" s="150"/>
      <c r="C104" s="150"/>
      <c r="D104" s="150"/>
      <c r="E104" s="150"/>
      <c r="F104" s="150"/>
      <c r="G104" s="150"/>
      <c r="H104" s="150"/>
      <c r="I104" s="150"/>
      <c r="J104" s="150"/>
      <c r="K104" s="150"/>
      <c r="L104" s="150"/>
    </row>
    <row r="105" spans="1:12" s="46" customFormat="1" x14ac:dyDescent="0.65">
      <c r="A105" s="177" t="s">
        <v>106</v>
      </c>
      <c r="B105" s="177" t="s">
        <v>164</v>
      </c>
      <c r="C105" s="177" t="s">
        <v>164</v>
      </c>
      <c r="D105" s="130" t="s">
        <v>151</v>
      </c>
      <c r="E105" s="130" t="s">
        <v>151</v>
      </c>
      <c r="F105" s="177" t="s">
        <v>164</v>
      </c>
      <c r="G105" s="177" t="s">
        <v>164</v>
      </c>
      <c r="H105" s="130" t="s">
        <v>151</v>
      </c>
      <c r="I105" s="130" t="s">
        <v>151</v>
      </c>
      <c r="J105" s="177" t="s">
        <v>164</v>
      </c>
      <c r="K105" s="177" t="s">
        <v>164</v>
      </c>
      <c r="L105" s="177"/>
    </row>
    <row r="106" spans="1:12" s="46" customFormat="1" x14ac:dyDescent="0.65">
      <c r="A106" s="177" t="s">
        <v>107</v>
      </c>
      <c r="B106" s="177" t="s">
        <v>164</v>
      </c>
      <c r="C106" s="177" t="s">
        <v>164</v>
      </c>
      <c r="D106" s="177" t="s">
        <v>164</v>
      </c>
      <c r="E106" s="177" t="s">
        <v>164</v>
      </c>
      <c r="F106" s="177" t="s">
        <v>164</v>
      </c>
      <c r="G106" s="177" t="s">
        <v>164</v>
      </c>
      <c r="H106" s="177" t="s">
        <v>164</v>
      </c>
      <c r="I106" s="177" t="s">
        <v>164</v>
      </c>
      <c r="J106" s="177" t="s">
        <v>164</v>
      </c>
      <c r="K106" s="177" t="s">
        <v>164</v>
      </c>
      <c r="L106" s="177"/>
    </row>
    <row r="107" spans="1:12" s="46" customFormat="1" x14ac:dyDescent="0.65">
      <c r="A107" s="177" t="s">
        <v>108</v>
      </c>
      <c r="B107" s="177" t="s">
        <v>164</v>
      </c>
      <c r="C107" s="177" t="s">
        <v>164</v>
      </c>
      <c r="D107" s="177" t="s">
        <v>164</v>
      </c>
      <c r="E107" s="177" t="s">
        <v>164</v>
      </c>
      <c r="F107" s="177" t="s">
        <v>164</v>
      </c>
      <c r="G107" s="177" t="s">
        <v>164</v>
      </c>
      <c r="H107" s="177" t="s">
        <v>164</v>
      </c>
      <c r="I107" s="177" t="s">
        <v>164</v>
      </c>
      <c r="J107" s="177" t="s">
        <v>164</v>
      </c>
      <c r="K107" s="177" t="s">
        <v>164</v>
      </c>
      <c r="L107" s="177"/>
    </row>
    <row r="108" spans="1:12" s="46" customFormat="1" x14ac:dyDescent="0.65">
      <c r="A108" s="177" t="s">
        <v>109</v>
      </c>
      <c r="B108" s="177" t="s">
        <v>164</v>
      </c>
      <c r="C108" s="177" t="s">
        <v>164</v>
      </c>
      <c r="D108" s="177" t="s">
        <v>164</v>
      </c>
      <c r="E108" s="177" t="s">
        <v>164</v>
      </c>
      <c r="F108" s="177" t="s">
        <v>164</v>
      </c>
      <c r="G108" s="130" t="s">
        <v>151</v>
      </c>
      <c r="H108" s="177" t="s">
        <v>164</v>
      </c>
      <c r="I108" s="177" t="s">
        <v>164</v>
      </c>
      <c r="J108" s="177" t="s">
        <v>164</v>
      </c>
      <c r="K108" s="130" t="s">
        <v>151</v>
      </c>
      <c r="L108" s="177" t="s">
        <v>169</v>
      </c>
    </row>
    <row r="109" spans="1:12" s="46" customFormat="1" x14ac:dyDescent="0.65">
      <c r="A109" s="177" t="s">
        <v>110</v>
      </c>
      <c r="B109" s="177" t="s">
        <v>164</v>
      </c>
      <c r="C109" s="177" t="s">
        <v>164</v>
      </c>
      <c r="D109" s="177" t="s">
        <v>164</v>
      </c>
      <c r="E109" s="177" t="s">
        <v>164</v>
      </c>
      <c r="F109" s="177" t="s">
        <v>164</v>
      </c>
      <c r="G109" s="177" t="s">
        <v>164</v>
      </c>
      <c r="H109" s="177" t="s">
        <v>164</v>
      </c>
      <c r="I109" s="177" t="s">
        <v>164</v>
      </c>
      <c r="J109" s="177" t="s">
        <v>164</v>
      </c>
      <c r="K109" s="177" t="s">
        <v>164</v>
      </c>
      <c r="L109" s="177"/>
    </row>
    <row r="110" spans="1:12" s="46" customFormat="1" x14ac:dyDescent="0.65">
      <c r="A110" s="177" t="s">
        <v>111</v>
      </c>
      <c r="B110" s="177" t="s">
        <v>164</v>
      </c>
      <c r="C110" s="177" t="s">
        <v>164</v>
      </c>
      <c r="D110" s="177" t="s">
        <v>164</v>
      </c>
      <c r="E110" s="177" t="s">
        <v>164</v>
      </c>
      <c r="F110" s="177" t="s">
        <v>164</v>
      </c>
      <c r="G110" s="177" t="s">
        <v>164</v>
      </c>
      <c r="H110" s="177" t="s">
        <v>164</v>
      </c>
      <c r="I110" s="177" t="s">
        <v>164</v>
      </c>
      <c r="J110" s="177" t="s">
        <v>164</v>
      </c>
      <c r="K110" s="177" t="s">
        <v>164</v>
      </c>
      <c r="L110" s="177"/>
    </row>
    <row r="111" spans="1:12" s="46" customFormat="1" x14ac:dyDescent="0.65">
      <c r="A111" s="137" t="s">
        <v>112</v>
      </c>
      <c r="B111" s="177" t="s">
        <v>164</v>
      </c>
      <c r="C111" s="177" t="s">
        <v>164</v>
      </c>
      <c r="D111" s="177" t="s">
        <v>164</v>
      </c>
      <c r="E111" s="177" t="s">
        <v>164</v>
      </c>
      <c r="F111" s="177" t="s">
        <v>164</v>
      </c>
      <c r="G111" s="130" t="s">
        <v>151</v>
      </c>
      <c r="H111" s="177" t="s">
        <v>164</v>
      </c>
      <c r="I111" s="177" t="s">
        <v>164</v>
      </c>
      <c r="J111" s="177" t="s">
        <v>164</v>
      </c>
      <c r="K111" s="130" t="s">
        <v>151</v>
      </c>
      <c r="L111" s="177" t="s">
        <v>169</v>
      </c>
    </row>
    <row r="112" spans="1:12" s="46" customFormat="1" x14ac:dyDescent="0.65">
      <c r="A112" s="137" t="s">
        <v>113</v>
      </c>
      <c r="B112" s="177" t="s">
        <v>164</v>
      </c>
      <c r="C112" s="177" t="s">
        <v>164</v>
      </c>
      <c r="D112" s="177" t="s">
        <v>164</v>
      </c>
      <c r="E112" s="177" t="s">
        <v>164</v>
      </c>
      <c r="F112" s="177" t="s">
        <v>164</v>
      </c>
      <c r="G112" s="177" t="s">
        <v>164</v>
      </c>
      <c r="H112" s="177" t="s">
        <v>164</v>
      </c>
      <c r="I112" s="177" t="s">
        <v>164</v>
      </c>
      <c r="J112" s="177" t="s">
        <v>164</v>
      </c>
      <c r="K112" s="177" t="s">
        <v>164</v>
      </c>
      <c r="L112" s="177"/>
    </row>
    <row r="113" spans="1:12" s="46" customFormat="1" x14ac:dyDescent="0.65">
      <c r="A113" s="137" t="s">
        <v>114</v>
      </c>
      <c r="B113" s="177" t="s">
        <v>164</v>
      </c>
      <c r="C113" s="177" t="s">
        <v>164</v>
      </c>
      <c r="D113" s="177" t="s">
        <v>164</v>
      </c>
      <c r="E113" s="177" t="s">
        <v>164</v>
      </c>
      <c r="F113" s="177" t="s">
        <v>164</v>
      </c>
      <c r="G113" s="130" t="s">
        <v>151</v>
      </c>
      <c r="H113" s="177" t="s">
        <v>164</v>
      </c>
      <c r="I113" s="177" t="s">
        <v>164</v>
      </c>
      <c r="J113" s="177" t="s">
        <v>164</v>
      </c>
      <c r="K113" s="130" t="s">
        <v>151</v>
      </c>
      <c r="L113" s="177" t="s">
        <v>169</v>
      </c>
    </row>
    <row r="114" spans="1:12" s="46" customFormat="1" x14ac:dyDescent="0.65">
      <c r="A114" s="137" t="s">
        <v>115</v>
      </c>
      <c r="B114" s="177" t="s">
        <v>164</v>
      </c>
      <c r="C114" s="177" t="s">
        <v>164</v>
      </c>
      <c r="D114" s="177" t="s">
        <v>164</v>
      </c>
      <c r="E114" s="177" t="s">
        <v>164</v>
      </c>
      <c r="F114" s="177" t="s">
        <v>164</v>
      </c>
      <c r="G114" s="177" t="s">
        <v>164</v>
      </c>
      <c r="H114" s="177" t="s">
        <v>164</v>
      </c>
      <c r="I114" s="177" t="s">
        <v>164</v>
      </c>
      <c r="J114" s="177" t="s">
        <v>164</v>
      </c>
      <c r="K114" s="177" t="s">
        <v>164</v>
      </c>
      <c r="L114" s="177"/>
    </row>
    <row r="115" spans="1:12" s="46" customFormat="1" x14ac:dyDescent="0.65">
      <c r="A115" s="137" t="s">
        <v>116</v>
      </c>
      <c r="B115" s="177" t="s">
        <v>164</v>
      </c>
      <c r="C115" s="177" t="s">
        <v>164</v>
      </c>
      <c r="D115" s="177" t="s">
        <v>164</v>
      </c>
      <c r="E115" s="177" t="s">
        <v>164</v>
      </c>
      <c r="F115" s="177" t="s">
        <v>164</v>
      </c>
      <c r="G115" s="177" t="s">
        <v>164</v>
      </c>
      <c r="H115" s="177" t="s">
        <v>164</v>
      </c>
      <c r="I115" s="177" t="s">
        <v>164</v>
      </c>
      <c r="J115" s="177" t="s">
        <v>164</v>
      </c>
      <c r="K115" s="177" t="s">
        <v>164</v>
      </c>
      <c r="L115" s="177"/>
    </row>
    <row r="116" spans="1:12" s="46" customFormat="1" ht="57" x14ac:dyDescent="0.65">
      <c r="A116" s="118" t="s">
        <v>117</v>
      </c>
      <c r="B116" s="177" t="s">
        <v>164</v>
      </c>
      <c r="C116" s="177" t="s">
        <v>164</v>
      </c>
      <c r="D116" s="130" t="s">
        <v>151</v>
      </c>
      <c r="E116" s="130" t="s">
        <v>151</v>
      </c>
      <c r="F116" s="177" t="s">
        <v>164</v>
      </c>
      <c r="G116" s="177" t="s">
        <v>164</v>
      </c>
      <c r="H116" s="130" t="s">
        <v>151</v>
      </c>
      <c r="I116" s="130" t="s">
        <v>151</v>
      </c>
      <c r="J116" s="177" t="s">
        <v>164</v>
      </c>
      <c r="K116" s="177" t="s">
        <v>164</v>
      </c>
      <c r="L116" s="177" t="s">
        <v>173</v>
      </c>
    </row>
    <row r="117" spans="1:12" s="46" customFormat="1" x14ac:dyDescent="0.65">
      <c r="A117" s="118" t="s">
        <v>118</v>
      </c>
      <c r="B117" s="177" t="s">
        <v>164</v>
      </c>
      <c r="C117" s="177" t="s">
        <v>164</v>
      </c>
      <c r="D117" s="130" t="s">
        <v>151</v>
      </c>
      <c r="E117" s="130" t="s">
        <v>151</v>
      </c>
      <c r="F117" s="177" t="s">
        <v>164</v>
      </c>
      <c r="G117" s="177" t="s">
        <v>164</v>
      </c>
      <c r="H117" s="130" t="s">
        <v>151</v>
      </c>
      <c r="I117" s="130" t="s">
        <v>151</v>
      </c>
      <c r="J117" s="177" t="s">
        <v>164</v>
      </c>
      <c r="K117" s="177" t="s">
        <v>164</v>
      </c>
      <c r="L117" s="177" t="s">
        <v>170</v>
      </c>
    </row>
    <row r="118" spans="1:12" s="46" customFormat="1" x14ac:dyDescent="0.65">
      <c r="A118" s="118" t="s">
        <v>119</v>
      </c>
      <c r="B118" s="177" t="s">
        <v>164</v>
      </c>
      <c r="C118" s="177" t="s">
        <v>164</v>
      </c>
      <c r="D118" s="130" t="s">
        <v>151</v>
      </c>
      <c r="E118" s="130" t="s">
        <v>151</v>
      </c>
      <c r="F118" s="177" t="s">
        <v>164</v>
      </c>
      <c r="G118" s="177" t="s">
        <v>164</v>
      </c>
      <c r="H118" s="130" t="s">
        <v>151</v>
      </c>
      <c r="I118" s="130" t="s">
        <v>151</v>
      </c>
      <c r="J118" s="177" t="s">
        <v>164</v>
      </c>
      <c r="K118" s="177" t="s">
        <v>164</v>
      </c>
      <c r="L118" s="177" t="s">
        <v>170</v>
      </c>
    </row>
    <row r="119" spans="1:12" s="46" customFormat="1" x14ac:dyDescent="0.65">
      <c r="A119" s="138" t="s">
        <v>120</v>
      </c>
      <c r="B119" s="177" t="s">
        <v>164</v>
      </c>
      <c r="C119" s="177" t="s">
        <v>164</v>
      </c>
      <c r="D119" s="130" t="s">
        <v>151</v>
      </c>
      <c r="E119" s="130" t="s">
        <v>151</v>
      </c>
      <c r="F119" s="177" t="s">
        <v>164</v>
      </c>
      <c r="G119" s="177" t="s">
        <v>164</v>
      </c>
      <c r="H119" s="130" t="s">
        <v>151</v>
      </c>
      <c r="I119" s="130" t="s">
        <v>151</v>
      </c>
      <c r="J119" s="177" t="s">
        <v>164</v>
      </c>
      <c r="K119" s="177" t="s">
        <v>164</v>
      </c>
      <c r="L119" s="177" t="s">
        <v>170</v>
      </c>
    </row>
    <row r="120" spans="1:12" s="50" customFormat="1" ht="14.5" x14ac:dyDescent="0.65">
      <c r="A120" s="151" t="s">
        <v>121</v>
      </c>
      <c r="B120" s="150"/>
      <c r="C120" s="150"/>
      <c r="D120" s="150"/>
      <c r="E120" s="150"/>
      <c r="F120" s="150"/>
      <c r="G120" s="150"/>
      <c r="H120" s="150"/>
      <c r="I120" s="150"/>
      <c r="J120" s="150"/>
      <c r="K120" s="150"/>
      <c r="L120" s="150"/>
    </row>
    <row r="121" spans="1:12" s="41" customFormat="1" x14ac:dyDescent="0.75">
      <c r="A121" s="137" t="s">
        <v>122</v>
      </c>
      <c r="B121" s="177" t="s">
        <v>164</v>
      </c>
      <c r="C121" s="177" t="s">
        <v>164</v>
      </c>
      <c r="D121" s="177" t="s">
        <v>164</v>
      </c>
      <c r="E121" s="177" t="s">
        <v>164</v>
      </c>
      <c r="F121" s="177" t="s">
        <v>164</v>
      </c>
      <c r="G121" s="130" t="s">
        <v>151</v>
      </c>
      <c r="H121" s="177" t="s">
        <v>164</v>
      </c>
      <c r="I121" s="177" t="s">
        <v>164</v>
      </c>
      <c r="J121" s="177" t="s">
        <v>164</v>
      </c>
      <c r="K121" s="130" t="s">
        <v>151</v>
      </c>
      <c r="L121" s="177" t="s">
        <v>174</v>
      </c>
    </row>
    <row r="122" spans="1:12" s="52" customFormat="1" x14ac:dyDescent="0.65">
      <c r="A122" s="137" t="s">
        <v>123</v>
      </c>
      <c r="B122" s="177" t="s">
        <v>164</v>
      </c>
      <c r="C122" s="177" t="s">
        <v>164</v>
      </c>
      <c r="D122" s="177" t="s">
        <v>164</v>
      </c>
      <c r="E122" s="177" t="s">
        <v>164</v>
      </c>
      <c r="F122" s="177" t="s">
        <v>164</v>
      </c>
      <c r="G122" s="177" t="s">
        <v>164</v>
      </c>
      <c r="H122" s="177" t="s">
        <v>164</v>
      </c>
      <c r="I122" s="177" t="s">
        <v>164</v>
      </c>
      <c r="J122" s="177" t="s">
        <v>164</v>
      </c>
      <c r="K122" s="177" t="s">
        <v>164</v>
      </c>
      <c r="L122" s="82"/>
    </row>
    <row r="123" spans="1:12" s="52" customFormat="1" x14ac:dyDescent="0.65">
      <c r="A123" s="137" t="s">
        <v>124</v>
      </c>
      <c r="B123" s="177" t="s">
        <v>164</v>
      </c>
      <c r="C123" s="177" t="s">
        <v>164</v>
      </c>
      <c r="D123" s="177" t="s">
        <v>164</v>
      </c>
      <c r="E123" s="177" t="s">
        <v>164</v>
      </c>
      <c r="F123" s="177" t="s">
        <v>164</v>
      </c>
      <c r="G123" s="177" t="s">
        <v>164</v>
      </c>
      <c r="H123" s="177" t="s">
        <v>164</v>
      </c>
      <c r="I123" s="177" t="s">
        <v>164</v>
      </c>
      <c r="J123" s="177" t="s">
        <v>164</v>
      </c>
      <c r="K123" s="177" t="s">
        <v>164</v>
      </c>
      <c r="L123" s="82"/>
    </row>
    <row r="124" spans="1:12" s="52" customFormat="1" x14ac:dyDescent="0.65">
      <c r="A124" s="137" t="s">
        <v>125</v>
      </c>
      <c r="B124" s="177" t="s">
        <v>164</v>
      </c>
      <c r="C124" s="177" t="s">
        <v>164</v>
      </c>
      <c r="D124" s="177" t="s">
        <v>164</v>
      </c>
      <c r="E124" s="177" t="s">
        <v>164</v>
      </c>
      <c r="F124" s="177" t="s">
        <v>164</v>
      </c>
      <c r="G124" s="130" t="s">
        <v>151</v>
      </c>
      <c r="H124" s="130" t="s">
        <v>151</v>
      </c>
      <c r="I124" s="130" t="s">
        <v>151</v>
      </c>
      <c r="J124" s="177" t="s">
        <v>164</v>
      </c>
      <c r="K124" s="177" t="s">
        <v>164</v>
      </c>
      <c r="L124" s="177" t="s">
        <v>174</v>
      </c>
    </row>
    <row r="125" spans="1:12" s="52" customFormat="1" ht="42.75" x14ac:dyDescent="0.65">
      <c r="A125" s="118" t="s">
        <v>126</v>
      </c>
      <c r="B125" s="177" t="s">
        <v>164</v>
      </c>
      <c r="C125" s="177" t="s">
        <v>164</v>
      </c>
      <c r="D125" s="177" t="s">
        <v>164</v>
      </c>
      <c r="E125" s="177" t="s">
        <v>164</v>
      </c>
      <c r="F125" s="177" t="s">
        <v>164</v>
      </c>
      <c r="G125" s="130" t="s">
        <v>151</v>
      </c>
      <c r="H125" s="130" t="s">
        <v>151</v>
      </c>
      <c r="I125" s="130" t="s">
        <v>151</v>
      </c>
      <c r="J125" s="177" t="s">
        <v>164</v>
      </c>
      <c r="K125" s="177" t="s">
        <v>164</v>
      </c>
      <c r="L125" s="177" t="s">
        <v>196</v>
      </c>
    </row>
    <row r="126" spans="1:12" s="52" customFormat="1" x14ac:dyDescent="0.65">
      <c r="A126" s="137" t="s">
        <v>127</v>
      </c>
      <c r="B126" s="177" t="s">
        <v>164</v>
      </c>
      <c r="C126" s="177" t="s">
        <v>164</v>
      </c>
      <c r="D126" s="177" t="s">
        <v>164</v>
      </c>
      <c r="E126" s="177" t="s">
        <v>164</v>
      </c>
      <c r="F126" s="177" t="s">
        <v>164</v>
      </c>
      <c r="G126" s="177" t="s">
        <v>164</v>
      </c>
      <c r="H126" s="177" t="s">
        <v>164</v>
      </c>
      <c r="I126" s="177" t="s">
        <v>164</v>
      </c>
      <c r="J126" s="177" t="s">
        <v>164</v>
      </c>
      <c r="K126" s="177" t="s">
        <v>164</v>
      </c>
      <c r="L126" s="177"/>
    </row>
    <row r="127" spans="1:12" s="52" customFormat="1" ht="58.15" customHeight="1" x14ac:dyDescent="0.65">
      <c r="A127" s="137" t="s">
        <v>128</v>
      </c>
      <c r="B127" s="177" t="s">
        <v>164</v>
      </c>
      <c r="C127" s="177" t="s">
        <v>164</v>
      </c>
      <c r="D127" s="177" t="s">
        <v>164</v>
      </c>
      <c r="E127" s="131" t="s">
        <v>177</v>
      </c>
      <c r="F127" s="177" t="s">
        <v>164</v>
      </c>
      <c r="G127" s="177" t="s">
        <v>164</v>
      </c>
      <c r="H127" s="177" t="s">
        <v>164</v>
      </c>
      <c r="I127" s="177" t="s">
        <v>164</v>
      </c>
      <c r="J127" s="177" t="s">
        <v>164</v>
      </c>
      <c r="K127" s="177" t="s">
        <v>164</v>
      </c>
      <c r="L127" s="177" t="s">
        <v>178</v>
      </c>
    </row>
    <row r="128" spans="1:12" s="50" customFormat="1" ht="14.5" x14ac:dyDescent="0.65">
      <c r="A128" s="152" t="s">
        <v>129</v>
      </c>
      <c r="B128" s="153"/>
      <c r="C128" s="153"/>
      <c r="D128" s="153"/>
      <c r="E128" s="150"/>
      <c r="F128" s="150"/>
      <c r="G128" s="150"/>
      <c r="H128" s="150"/>
      <c r="I128" s="150"/>
      <c r="J128" s="150"/>
      <c r="K128" s="150"/>
      <c r="L128" s="150"/>
    </row>
    <row r="129" spans="1:12" s="46" customFormat="1" x14ac:dyDescent="0.65">
      <c r="A129" s="137" t="s">
        <v>130</v>
      </c>
      <c r="B129" s="177" t="s">
        <v>164</v>
      </c>
      <c r="C129" s="177" t="s">
        <v>164</v>
      </c>
      <c r="D129" s="177" t="s">
        <v>164</v>
      </c>
      <c r="E129" s="177" t="s">
        <v>164</v>
      </c>
      <c r="F129" s="177" t="s">
        <v>164</v>
      </c>
      <c r="G129" s="130" t="s">
        <v>151</v>
      </c>
      <c r="H129" s="130" t="s">
        <v>151</v>
      </c>
      <c r="I129" s="130" t="s">
        <v>151</v>
      </c>
      <c r="J129" s="177" t="s">
        <v>164</v>
      </c>
      <c r="K129" s="177" t="s">
        <v>164</v>
      </c>
      <c r="L129" s="177" t="s">
        <v>174</v>
      </c>
    </row>
    <row r="130" spans="1:12" s="52" customFormat="1" x14ac:dyDescent="0.65">
      <c r="A130" s="137" t="s">
        <v>131</v>
      </c>
      <c r="B130" s="177" t="s">
        <v>164</v>
      </c>
      <c r="C130" s="177" t="s">
        <v>164</v>
      </c>
      <c r="D130" s="177" t="s">
        <v>164</v>
      </c>
      <c r="E130" s="177" t="s">
        <v>164</v>
      </c>
      <c r="F130" s="177" t="s">
        <v>164</v>
      </c>
      <c r="G130" s="177" t="s">
        <v>164</v>
      </c>
      <c r="H130" s="177" t="s">
        <v>164</v>
      </c>
      <c r="I130" s="177" t="s">
        <v>164</v>
      </c>
      <c r="J130" s="177" t="s">
        <v>164</v>
      </c>
      <c r="K130" s="177" t="s">
        <v>164</v>
      </c>
      <c r="L130" s="177"/>
    </row>
    <row r="131" spans="1:12" s="52" customFormat="1" x14ac:dyDescent="0.65">
      <c r="A131" s="137" t="s">
        <v>132</v>
      </c>
      <c r="B131" s="177" t="s">
        <v>164</v>
      </c>
      <c r="C131" s="177" t="s">
        <v>164</v>
      </c>
      <c r="D131" s="177" t="s">
        <v>164</v>
      </c>
      <c r="E131" s="177" t="s">
        <v>164</v>
      </c>
      <c r="F131" s="177" t="s">
        <v>164</v>
      </c>
      <c r="G131" s="177" t="s">
        <v>164</v>
      </c>
      <c r="H131" s="177" t="s">
        <v>164</v>
      </c>
      <c r="I131" s="177" t="s">
        <v>164</v>
      </c>
      <c r="J131" s="177" t="s">
        <v>164</v>
      </c>
      <c r="K131" s="177" t="s">
        <v>164</v>
      </c>
      <c r="L131" s="177"/>
    </row>
    <row r="132" spans="1:12" s="51" customFormat="1" x14ac:dyDescent="0.75">
      <c r="A132" s="137" t="s">
        <v>133</v>
      </c>
      <c r="B132" s="177" t="s">
        <v>164</v>
      </c>
      <c r="C132" s="177" t="s">
        <v>164</v>
      </c>
      <c r="D132" s="177" t="s">
        <v>164</v>
      </c>
      <c r="E132" s="177" t="s">
        <v>164</v>
      </c>
      <c r="F132" s="177" t="s">
        <v>164</v>
      </c>
      <c r="G132" s="130" t="s">
        <v>151</v>
      </c>
      <c r="H132" s="130" t="s">
        <v>151</v>
      </c>
      <c r="I132" s="130" t="s">
        <v>151</v>
      </c>
      <c r="J132" s="177" t="s">
        <v>164</v>
      </c>
      <c r="K132" s="177" t="s">
        <v>164</v>
      </c>
      <c r="L132" s="177" t="s">
        <v>174</v>
      </c>
    </row>
    <row r="133" spans="1:12" s="51" customFormat="1" x14ac:dyDescent="0.75">
      <c r="A133" s="137" t="s">
        <v>134</v>
      </c>
      <c r="B133" s="177" t="s">
        <v>164</v>
      </c>
      <c r="C133" s="177" t="s">
        <v>164</v>
      </c>
      <c r="D133" s="177" t="s">
        <v>164</v>
      </c>
      <c r="E133" s="177" t="s">
        <v>164</v>
      </c>
      <c r="F133" s="177" t="s">
        <v>164</v>
      </c>
      <c r="G133" s="177" t="s">
        <v>164</v>
      </c>
      <c r="H133" s="177" t="s">
        <v>164</v>
      </c>
      <c r="I133" s="177" t="s">
        <v>164</v>
      </c>
      <c r="J133" s="177" t="s">
        <v>164</v>
      </c>
      <c r="K133" s="177" t="s">
        <v>164</v>
      </c>
      <c r="L133" s="177"/>
    </row>
    <row r="134" spans="1:12" s="50" customFormat="1" ht="14.5" x14ac:dyDescent="0.65">
      <c r="A134" s="152" t="s">
        <v>135</v>
      </c>
      <c r="B134" s="153"/>
      <c r="C134" s="153"/>
      <c r="D134" s="153"/>
      <c r="E134" s="150"/>
      <c r="F134" s="150"/>
      <c r="G134" s="150"/>
      <c r="H134" s="150"/>
      <c r="I134" s="150"/>
      <c r="J134" s="150"/>
      <c r="K134" s="150"/>
      <c r="L134" s="150"/>
    </row>
    <row r="135" spans="1:12" s="46" customFormat="1" x14ac:dyDescent="0.65">
      <c r="A135" s="137" t="s">
        <v>136</v>
      </c>
      <c r="B135" s="177" t="s">
        <v>164</v>
      </c>
      <c r="C135" s="177" t="s">
        <v>164</v>
      </c>
      <c r="D135" s="177" t="s">
        <v>164</v>
      </c>
      <c r="E135" s="177" t="s">
        <v>164</v>
      </c>
      <c r="F135" s="177" t="s">
        <v>164</v>
      </c>
      <c r="G135" s="177" t="s">
        <v>164</v>
      </c>
      <c r="H135" s="177" t="s">
        <v>164</v>
      </c>
      <c r="I135" s="177" t="s">
        <v>164</v>
      </c>
      <c r="J135" s="177" t="s">
        <v>164</v>
      </c>
      <c r="K135" s="177" t="s">
        <v>164</v>
      </c>
      <c r="L135" s="177"/>
    </row>
    <row r="136" spans="1:12" s="52" customFormat="1" x14ac:dyDescent="0.65">
      <c r="A136" s="137" t="s">
        <v>137</v>
      </c>
      <c r="B136" s="177" t="s">
        <v>164</v>
      </c>
      <c r="C136" s="177" t="s">
        <v>164</v>
      </c>
      <c r="D136" s="177" t="s">
        <v>164</v>
      </c>
      <c r="E136" s="177" t="s">
        <v>164</v>
      </c>
      <c r="F136" s="177" t="s">
        <v>164</v>
      </c>
      <c r="G136" s="177" t="s">
        <v>164</v>
      </c>
      <c r="H136" s="177" t="s">
        <v>164</v>
      </c>
      <c r="I136" s="177" t="s">
        <v>164</v>
      </c>
      <c r="J136" s="177" t="s">
        <v>164</v>
      </c>
      <c r="K136" s="177" t="s">
        <v>164</v>
      </c>
      <c r="L136" s="177"/>
    </row>
    <row r="137" spans="1:12" s="52" customFormat="1" x14ac:dyDescent="0.65">
      <c r="A137" s="137" t="s">
        <v>138</v>
      </c>
      <c r="B137" s="177" t="s">
        <v>164</v>
      </c>
      <c r="C137" s="177" t="s">
        <v>164</v>
      </c>
      <c r="D137" s="177" t="s">
        <v>164</v>
      </c>
      <c r="E137" s="177" t="s">
        <v>164</v>
      </c>
      <c r="F137" s="177" t="s">
        <v>164</v>
      </c>
      <c r="G137" s="177" t="s">
        <v>164</v>
      </c>
      <c r="H137" s="177" t="s">
        <v>164</v>
      </c>
      <c r="I137" s="177" t="s">
        <v>164</v>
      </c>
      <c r="J137" s="177" t="s">
        <v>164</v>
      </c>
      <c r="K137" s="177" t="s">
        <v>164</v>
      </c>
      <c r="L137" s="177"/>
    </row>
    <row r="138" spans="1:12" s="52" customFormat="1" x14ac:dyDescent="0.65">
      <c r="A138" s="137" t="s">
        <v>139</v>
      </c>
      <c r="B138" s="177" t="s">
        <v>164</v>
      </c>
      <c r="C138" s="177" t="s">
        <v>164</v>
      </c>
      <c r="D138" s="177" t="s">
        <v>164</v>
      </c>
      <c r="E138" s="177" t="s">
        <v>164</v>
      </c>
      <c r="F138" s="177" t="s">
        <v>164</v>
      </c>
      <c r="G138" s="177" t="s">
        <v>164</v>
      </c>
      <c r="H138" s="177" t="s">
        <v>164</v>
      </c>
      <c r="I138" s="177" t="s">
        <v>164</v>
      </c>
      <c r="J138" s="177" t="s">
        <v>164</v>
      </c>
      <c r="K138" s="177" t="s">
        <v>164</v>
      </c>
      <c r="L138" s="177"/>
    </row>
    <row r="139" spans="1:12" s="50" customFormat="1" ht="14.5" x14ac:dyDescent="0.65">
      <c r="A139" s="152" t="s">
        <v>140</v>
      </c>
      <c r="B139" s="153"/>
      <c r="C139" s="153"/>
      <c r="D139" s="153"/>
      <c r="E139" s="150"/>
      <c r="F139" s="150"/>
      <c r="G139" s="150"/>
      <c r="H139" s="150"/>
      <c r="I139" s="150"/>
      <c r="J139" s="150"/>
      <c r="K139" s="150"/>
      <c r="L139" s="150"/>
    </row>
    <row r="140" spans="1:12" s="52" customFormat="1" ht="28.5" x14ac:dyDescent="0.65">
      <c r="A140" s="137" t="s">
        <v>141</v>
      </c>
      <c r="B140" s="177" t="s">
        <v>164</v>
      </c>
      <c r="C140" s="177" t="s">
        <v>164</v>
      </c>
      <c r="D140" s="177" t="s">
        <v>164</v>
      </c>
      <c r="E140" s="177" t="s">
        <v>164</v>
      </c>
      <c r="F140" s="177" t="s">
        <v>164</v>
      </c>
      <c r="G140" s="177" t="s">
        <v>164</v>
      </c>
      <c r="H140" s="177" t="s">
        <v>164</v>
      </c>
      <c r="I140" s="177" t="s">
        <v>164</v>
      </c>
      <c r="J140" s="177" t="s">
        <v>164</v>
      </c>
      <c r="K140" s="177" t="s">
        <v>164</v>
      </c>
      <c r="L140" s="177"/>
    </row>
    <row r="141" spans="1:12" s="50" customFormat="1" ht="14.5" x14ac:dyDescent="0.65">
      <c r="A141" s="152" t="s">
        <v>142</v>
      </c>
      <c r="B141" s="153"/>
      <c r="C141" s="153"/>
      <c r="D141" s="153"/>
      <c r="E141" s="150"/>
      <c r="F141" s="150"/>
      <c r="G141" s="150"/>
      <c r="H141" s="150"/>
      <c r="I141" s="150"/>
      <c r="J141" s="150"/>
      <c r="K141" s="150"/>
      <c r="L141" s="150"/>
    </row>
    <row r="142" spans="1:12" s="52" customFormat="1" x14ac:dyDescent="0.65">
      <c r="A142" s="118" t="s">
        <v>143</v>
      </c>
      <c r="B142" s="177" t="s">
        <v>164</v>
      </c>
      <c r="C142" s="177" t="s">
        <v>164</v>
      </c>
      <c r="D142" s="177" t="s">
        <v>164</v>
      </c>
      <c r="E142" s="177" t="s">
        <v>164</v>
      </c>
      <c r="F142" s="177" t="s">
        <v>164</v>
      </c>
      <c r="G142" s="177" t="s">
        <v>164</v>
      </c>
      <c r="H142" s="177" t="s">
        <v>164</v>
      </c>
      <c r="I142" s="177" t="s">
        <v>164</v>
      </c>
      <c r="J142" s="177" t="s">
        <v>164</v>
      </c>
      <c r="K142" s="177" t="s">
        <v>164</v>
      </c>
      <c r="L142" s="177"/>
    </row>
    <row r="143" spans="1:12" s="52" customFormat="1" x14ac:dyDescent="0.65">
      <c r="A143" s="118" t="s">
        <v>144</v>
      </c>
      <c r="B143" s="177" t="s">
        <v>164</v>
      </c>
      <c r="C143" s="177" t="s">
        <v>164</v>
      </c>
      <c r="D143" s="177" t="s">
        <v>164</v>
      </c>
      <c r="E143" s="177" t="s">
        <v>164</v>
      </c>
      <c r="F143" s="177" t="s">
        <v>164</v>
      </c>
      <c r="G143" s="177" t="s">
        <v>164</v>
      </c>
      <c r="H143" s="177" t="s">
        <v>164</v>
      </c>
      <c r="I143" s="177" t="s">
        <v>164</v>
      </c>
      <c r="J143" s="177" t="s">
        <v>164</v>
      </c>
      <c r="K143" s="177" t="s">
        <v>164</v>
      </c>
      <c r="L143" s="177"/>
    </row>
    <row r="144" spans="1:12" s="46" customFormat="1" x14ac:dyDescent="0.65">
      <c r="A144" s="137" t="s">
        <v>145</v>
      </c>
      <c r="B144" s="177" t="s">
        <v>164</v>
      </c>
      <c r="C144" s="177" t="s">
        <v>164</v>
      </c>
      <c r="D144" s="177" t="s">
        <v>164</v>
      </c>
      <c r="E144" s="177" t="s">
        <v>164</v>
      </c>
      <c r="F144" s="177" t="s">
        <v>164</v>
      </c>
      <c r="G144" s="177" t="s">
        <v>164</v>
      </c>
      <c r="H144" s="177" t="s">
        <v>164</v>
      </c>
      <c r="I144" s="177" t="s">
        <v>164</v>
      </c>
      <c r="J144" s="177" t="s">
        <v>164</v>
      </c>
      <c r="K144" s="177" t="s">
        <v>164</v>
      </c>
      <c r="L144" s="177"/>
    </row>
    <row r="145" spans="1:12" s="46" customFormat="1" x14ac:dyDescent="0.65">
      <c r="A145" s="137" t="s">
        <v>146</v>
      </c>
      <c r="B145" s="177" t="s">
        <v>164</v>
      </c>
      <c r="C145" s="177" t="s">
        <v>164</v>
      </c>
      <c r="D145" s="177" t="s">
        <v>164</v>
      </c>
      <c r="E145" s="177" t="s">
        <v>164</v>
      </c>
      <c r="F145" s="177" t="s">
        <v>164</v>
      </c>
      <c r="G145" s="177" t="s">
        <v>164</v>
      </c>
      <c r="H145" s="177" t="s">
        <v>164</v>
      </c>
      <c r="I145" s="177" t="s">
        <v>164</v>
      </c>
      <c r="J145" s="177" t="s">
        <v>164</v>
      </c>
      <c r="K145" s="177" t="s">
        <v>164</v>
      </c>
      <c r="L145" s="177"/>
    </row>
    <row r="146" spans="1:12" x14ac:dyDescent="0.65">
      <c r="A146" s="43"/>
      <c r="B146" s="43"/>
      <c r="C146" s="43"/>
      <c r="D146" s="43"/>
      <c r="E146" s="155"/>
      <c r="F146" s="155"/>
      <c r="G146" s="155"/>
      <c r="H146" s="155"/>
      <c r="I146" s="155"/>
      <c r="J146" s="155"/>
      <c r="K146" s="155"/>
      <c r="L146" s="155"/>
    </row>
    <row r="147" spans="1:12" x14ac:dyDescent="0.65">
      <c r="A147" s="44"/>
      <c r="B147" s="43"/>
      <c r="C147" s="43"/>
      <c r="D147" s="43"/>
      <c r="E147" s="155"/>
      <c r="F147" s="155"/>
      <c r="G147" s="155"/>
      <c r="H147" s="155"/>
      <c r="I147" s="155"/>
      <c r="J147" s="155"/>
      <c r="K147" s="155"/>
      <c r="L147" s="155"/>
    </row>
    <row r="148" spans="1:12" x14ac:dyDescent="0.65">
      <c r="A148" s="44"/>
      <c r="B148" s="43"/>
      <c r="C148" s="43"/>
      <c r="D148" s="43"/>
      <c r="E148" s="155"/>
      <c r="F148" s="155"/>
      <c r="G148" s="155"/>
      <c r="H148" s="155"/>
      <c r="I148" s="155"/>
      <c r="J148" s="155"/>
      <c r="K148" s="155"/>
      <c r="L148" s="155"/>
    </row>
    <row r="149" spans="1:12" x14ac:dyDescent="0.65">
      <c r="A149" s="44"/>
      <c r="B149" s="43"/>
      <c r="C149" s="43"/>
      <c r="D149" s="43"/>
      <c r="E149" s="155"/>
      <c r="F149" s="155"/>
      <c r="G149" s="155"/>
      <c r="H149" s="155"/>
      <c r="I149" s="155"/>
      <c r="J149" s="155"/>
      <c r="K149" s="155"/>
      <c r="L149" s="155"/>
    </row>
    <row r="150" spans="1:12" x14ac:dyDescent="0.65">
      <c r="A150" s="43"/>
      <c r="B150" s="43"/>
      <c r="C150" s="43"/>
      <c r="D150" s="43"/>
      <c r="E150" s="155"/>
      <c r="F150" s="155"/>
      <c r="G150" s="155"/>
      <c r="H150" s="155"/>
      <c r="I150" s="155"/>
      <c r="J150" s="155"/>
      <c r="K150" s="155"/>
      <c r="L150" s="155"/>
    </row>
    <row r="151" spans="1:12" x14ac:dyDescent="0.65">
      <c r="A151" s="43"/>
      <c r="B151" s="43"/>
      <c r="C151" s="43"/>
      <c r="D151" s="43"/>
      <c r="E151" s="155"/>
      <c r="F151" s="155"/>
      <c r="G151" s="155"/>
      <c r="H151" s="155"/>
      <c r="I151" s="155"/>
      <c r="J151" s="155"/>
      <c r="K151" s="155"/>
      <c r="L151" s="155"/>
    </row>
    <row r="152" spans="1:12" x14ac:dyDescent="0.65">
      <c r="A152" s="43"/>
      <c r="B152" s="43"/>
      <c r="C152" s="43"/>
      <c r="D152" s="43"/>
      <c r="E152" s="155"/>
      <c r="F152" s="155"/>
      <c r="G152" s="155"/>
      <c r="H152" s="155"/>
      <c r="I152" s="155"/>
      <c r="J152" s="155"/>
      <c r="K152" s="155"/>
      <c r="L152" s="155"/>
    </row>
    <row r="153" spans="1:12" x14ac:dyDescent="0.65">
      <c r="A153" s="43"/>
      <c r="B153" s="43"/>
      <c r="C153" s="43"/>
      <c r="D153" s="43"/>
      <c r="E153" s="155"/>
      <c r="F153" s="155"/>
      <c r="G153" s="155"/>
      <c r="H153" s="155"/>
      <c r="I153" s="155"/>
      <c r="J153" s="155"/>
      <c r="K153" s="155"/>
      <c r="L153" s="155"/>
    </row>
  </sheetData>
  <mergeCells count="79">
    <mergeCell ref="B3:L3"/>
    <mergeCell ref="B4:L4"/>
    <mergeCell ref="B5:L5"/>
    <mergeCell ref="C12:L12"/>
    <mergeCell ref="B6:L6"/>
    <mergeCell ref="B7:L7"/>
    <mergeCell ref="B8:L8"/>
    <mergeCell ref="C10:L10"/>
    <mergeCell ref="C11:L11"/>
    <mergeCell ref="C13:L13"/>
    <mergeCell ref="L67:L69"/>
    <mergeCell ref="B68:B69"/>
    <mergeCell ref="C68:C69"/>
    <mergeCell ref="D68:D69"/>
    <mergeCell ref="E68:E69"/>
    <mergeCell ref="F68:F69"/>
    <mergeCell ref="G68:G69"/>
    <mergeCell ref="H68:H69"/>
    <mergeCell ref="I68:I69"/>
    <mergeCell ref="J68:J69"/>
    <mergeCell ref="K68:K69"/>
    <mergeCell ref="B67:G67"/>
    <mergeCell ref="H67:I67"/>
    <mergeCell ref="J67:K67"/>
    <mergeCell ref="C14:L14"/>
    <mergeCell ref="C15:L15"/>
    <mergeCell ref="C16:L16"/>
    <mergeCell ref="C17:L17"/>
    <mergeCell ref="C18:L18"/>
    <mergeCell ref="C19:L19"/>
    <mergeCell ref="C20:L20"/>
    <mergeCell ref="C21:L21"/>
    <mergeCell ref="C22:L22"/>
    <mergeCell ref="C23:L23"/>
    <mergeCell ref="C24:L24"/>
    <mergeCell ref="C25:L25"/>
    <mergeCell ref="C26:L26"/>
    <mergeCell ref="C27:L27"/>
    <mergeCell ref="C28:L28"/>
    <mergeCell ref="C29:L29"/>
    <mergeCell ref="C36:L36"/>
    <mergeCell ref="C37:L37"/>
    <mergeCell ref="C38:L38"/>
    <mergeCell ref="C39:L39"/>
    <mergeCell ref="C30:L30"/>
    <mergeCell ref="C31:L31"/>
    <mergeCell ref="C32:L32"/>
    <mergeCell ref="C33:L33"/>
    <mergeCell ref="C34:L34"/>
    <mergeCell ref="C50:L50"/>
    <mergeCell ref="C51:L51"/>
    <mergeCell ref="C52:L52"/>
    <mergeCell ref="B1:L1"/>
    <mergeCell ref="B2:L2"/>
    <mergeCell ref="C45:L45"/>
    <mergeCell ref="C46:L46"/>
    <mergeCell ref="C47:L47"/>
    <mergeCell ref="C48:L48"/>
    <mergeCell ref="C49:L49"/>
    <mergeCell ref="C40:L40"/>
    <mergeCell ref="C41:L41"/>
    <mergeCell ref="C42:L42"/>
    <mergeCell ref="C43:L43"/>
    <mergeCell ref="C44:L44"/>
    <mergeCell ref="C35:L35"/>
    <mergeCell ref="C58:L58"/>
    <mergeCell ref="C64:L64"/>
    <mergeCell ref="D66:L66"/>
    <mergeCell ref="C59:L59"/>
    <mergeCell ref="C60:L60"/>
    <mergeCell ref="C61:L61"/>
    <mergeCell ref="C62:L62"/>
    <mergeCell ref="C63:L63"/>
    <mergeCell ref="C65:L65"/>
    <mergeCell ref="C53:L53"/>
    <mergeCell ref="C54:L54"/>
    <mergeCell ref="C55:L55"/>
    <mergeCell ref="C56:L56"/>
    <mergeCell ref="C57:L57"/>
  </mergeCells>
  <pageMargins left="0.7" right="0.7" top="0.75" bottom="0.75" header="0.3" footer="0.3"/>
  <pageSetup orientation="portrait" verticalDpi="9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F8D5C-A0C7-4224-B79B-FE8574B078D6}">
  <dimension ref="A1:M153"/>
  <sheetViews>
    <sheetView zoomScale="80" zoomScaleNormal="80" workbookViewId="0">
      <selection activeCell="B6" sqref="B6:L6"/>
    </sheetView>
  </sheetViews>
  <sheetFormatPr defaultColWidth="8.7265625" defaultRowHeight="14.25" x14ac:dyDescent="0.65"/>
  <cols>
    <col min="1" max="1" width="60.7265625" style="101" customWidth="1"/>
    <col min="2" max="11" width="9.1328125" style="101" customWidth="1"/>
    <col min="12" max="12" width="41.1328125" style="101" customWidth="1"/>
    <col min="13" max="13" width="35" style="101" customWidth="1"/>
    <col min="14" max="16384" width="8.7265625" style="101"/>
  </cols>
  <sheetData>
    <row r="1" spans="1:13" ht="14.75" x14ac:dyDescent="0.75">
      <c r="A1" s="127"/>
      <c r="B1" s="204" t="s">
        <v>0</v>
      </c>
      <c r="C1" s="211"/>
      <c r="D1" s="211"/>
      <c r="E1" s="211"/>
      <c r="F1" s="211"/>
      <c r="G1" s="211"/>
      <c r="H1" s="211"/>
      <c r="I1" s="211"/>
      <c r="J1" s="211"/>
      <c r="K1" s="211"/>
      <c r="L1" s="211"/>
      <c r="M1" s="155"/>
    </row>
    <row r="2" spans="1:13" ht="99.2" customHeight="1" x14ac:dyDescent="0.7">
      <c r="A2" s="127"/>
      <c r="B2" s="206" t="s">
        <v>3</v>
      </c>
      <c r="C2" s="206"/>
      <c r="D2" s="206"/>
      <c r="E2" s="206"/>
      <c r="F2" s="206"/>
      <c r="G2" s="206"/>
      <c r="H2" s="206"/>
      <c r="I2" s="206"/>
      <c r="J2" s="206"/>
      <c r="K2" s="206"/>
      <c r="L2" s="206"/>
      <c r="M2" s="155"/>
    </row>
    <row r="3" spans="1:13" ht="14.75" x14ac:dyDescent="0.75">
      <c r="A3" s="128" t="s">
        <v>197</v>
      </c>
      <c r="B3" s="191"/>
      <c r="C3" s="191"/>
      <c r="D3" s="191"/>
      <c r="E3" s="191"/>
      <c r="F3" s="191"/>
      <c r="G3" s="191"/>
      <c r="H3" s="191"/>
      <c r="I3" s="191"/>
      <c r="J3" s="191"/>
      <c r="K3" s="191"/>
      <c r="L3" s="175"/>
      <c r="M3" s="155"/>
    </row>
    <row r="4" spans="1:13" ht="14.75" x14ac:dyDescent="0.75">
      <c r="A4" s="128" t="str">
        <f>'Cover Page'!A16</f>
        <v>As of: May 26, 2021</v>
      </c>
      <c r="B4" s="191"/>
      <c r="C4" s="191"/>
      <c r="D4" s="191"/>
      <c r="E4" s="191"/>
      <c r="F4" s="191"/>
      <c r="G4" s="191"/>
      <c r="H4" s="191"/>
      <c r="I4" s="191"/>
      <c r="J4" s="191"/>
      <c r="K4" s="191"/>
      <c r="L4" s="175"/>
      <c r="M4" s="155"/>
    </row>
    <row r="5" spans="1:13" ht="14.75" x14ac:dyDescent="0.75">
      <c r="A5" s="128"/>
      <c r="B5" s="191"/>
      <c r="C5" s="191"/>
      <c r="D5" s="191"/>
      <c r="E5" s="191"/>
      <c r="F5" s="191"/>
      <c r="G5" s="191"/>
      <c r="H5" s="191"/>
      <c r="I5" s="191"/>
      <c r="J5" s="191"/>
      <c r="K5" s="191"/>
      <c r="L5" s="175"/>
      <c r="M5" s="155"/>
    </row>
    <row r="6" spans="1:13" s="104" customFormat="1" ht="14.5" x14ac:dyDescent="0.75">
      <c r="A6" s="176" t="s">
        <v>52</v>
      </c>
      <c r="B6" s="213" t="s">
        <v>198</v>
      </c>
      <c r="C6" s="213"/>
      <c r="D6" s="213"/>
      <c r="E6" s="213"/>
      <c r="F6" s="213"/>
      <c r="G6" s="213"/>
      <c r="H6" s="213"/>
      <c r="I6" s="213"/>
      <c r="J6" s="213"/>
      <c r="K6" s="213"/>
      <c r="L6" s="213"/>
    </row>
    <row r="7" spans="1:13" s="104" customFormat="1" ht="18" customHeight="1" x14ac:dyDescent="0.75">
      <c r="A7" s="176" t="s">
        <v>53</v>
      </c>
      <c r="B7" s="213" t="s">
        <v>199</v>
      </c>
      <c r="C7" s="213"/>
      <c r="D7" s="213"/>
      <c r="E7" s="213"/>
      <c r="F7" s="213"/>
      <c r="G7" s="213"/>
      <c r="H7" s="213"/>
      <c r="I7" s="213"/>
      <c r="J7" s="213"/>
      <c r="K7" s="213"/>
      <c r="L7" s="213"/>
    </row>
    <row r="8" spans="1:13" s="105" customFormat="1" ht="50.9" customHeight="1" x14ac:dyDescent="0.75">
      <c r="A8" s="176" t="s">
        <v>54</v>
      </c>
      <c r="B8" s="213" t="s">
        <v>200</v>
      </c>
      <c r="C8" s="213"/>
      <c r="D8" s="213"/>
      <c r="E8" s="213"/>
      <c r="F8" s="213"/>
      <c r="G8" s="213"/>
      <c r="H8" s="213"/>
      <c r="I8" s="213"/>
      <c r="J8" s="213"/>
      <c r="K8" s="213"/>
      <c r="L8" s="213"/>
    </row>
    <row r="9" spans="1:13" s="102" customFormat="1" ht="12.75" customHeight="1" x14ac:dyDescent="0.65">
      <c r="A9" s="124" t="s">
        <v>55</v>
      </c>
      <c r="B9" s="83"/>
      <c r="C9" s="83"/>
      <c r="D9" s="83"/>
      <c r="E9" s="83"/>
      <c r="F9" s="83"/>
      <c r="G9" s="83"/>
      <c r="H9" s="83"/>
      <c r="I9" s="83"/>
      <c r="J9" s="83"/>
      <c r="K9" s="83"/>
      <c r="L9" s="83"/>
    </row>
    <row r="10" spans="1:13" ht="14.5" x14ac:dyDescent="0.65">
      <c r="A10" s="91" t="s">
        <v>19</v>
      </c>
      <c r="B10" s="91" t="s">
        <v>25</v>
      </c>
      <c r="C10" s="202" t="s">
        <v>27</v>
      </c>
      <c r="D10" s="202"/>
      <c r="E10" s="202"/>
      <c r="F10" s="202"/>
      <c r="G10" s="202"/>
      <c r="H10" s="202"/>
      <c r="I10" s="202"/>
      <c r="J10" s="202"/>
      <c r="K10" s="202"/>
      <c r="L10" s="202"/>
      <c r="M10" s="103"/>
    </row>
    <row r="11" spans="1:13" x14ac:dyDescent="0.65">
      <c r="A11" s="177" t="str">
        <f>CONCATENATE('FFM-Functions-Activities'!B3,": ",'FFM-Functions-Activities'!D3)</f>
        <v>Budget Execution: Budget Setup and Maintenance</v>
      </c>
      <c r="B11" s="130" t="s">
        <v>151</v>
      </c>
      <c r="C11" s="212" t="s">
        <v>201</v>
      </c>
      <c r="D11" s="212"/>
      <c r="E11" s="212"/>
      <c r="F11" s="212"/>
      <c r="G11" s="212"/>
      <c r="H11" s="212"/>
      <c r="I11" s="212"/>
      <c r="J11" s="212"/>
      <c r="K11" s="212"/>
      <c r="L11" s="212"/>
      <c r="M11" s="103"/>
    </row>
    <row r="12" spans="1:13" x14ac:dyDescent="0.65">
      <c r="A12" s="177" t="str">
        <f>CONCATENATE('FFM-Functions-Activities'!B4,": ",'FFM-Functions-Activities'!D4)</f>
        <v>Budget Execution: Fund Allocation and Control</v>
      </c>
      <c r="B12" s="130" t="s">
        <v>151</v>
      </c>
      <c r="C12" s="212" t="s">
        <v>201</v>
      </c>
      <c r="D12" s="212"/>
      <c r="E12" s="212"/>
      <c r="F12" s="212"/>
      <c r="G12" s="212"/>
      <c r="H12" s="212"/>
      <c r="I12" s="212"/>
      <c r="J12" s="212"/>
      <c r="K12" s="212"/>
      <c r="L12" s="212"/>
      <c r="M12" s="103"/>
    </row>
    <row r="13" spans="1:13" x14ac:dyDescent="0.65">
      <c r="A13" s="177" t="str">
        <f>CONCATENATE('FFM-Functions-Activities'!B5,": ",'FFM-Functions-Activities'!D5)</f>
        <v>Budget Execution: Budgetary Reporting</v>
      </c>
      <c r="B13" s="130" t="s">
        <v>151</v>
      </c>
      <c r="C13" s="212" t="s">
        <v>201</v>
      </c>
      <c r="D13" s="212"/>
      <c r="E13" s="212"/>
      <c r="F13" s="212"/>
      <c r="G13" s="212"/>
      <c r="H13" s="212"/>
      <c r="I13" s="212"/>
      <c r="J13" s="212"/>
      <c r="K13" s="212"/>
      <c r="L13" s="212"/>
      <c r="M13" s="103"/>
    </row>
    <row r="14" spans="1:13" ht="28.5" x14ac:dyDescent="0.65">
      <c r="A14" s="177" t="str">
        <f>CONCATENATE('FFM-Functions-Activities'!B6,": ",'FFM-Functions-Activities'!D6)</f>
        <v>Financial Asset Information Management: Financial Asset Information Processing -  Property, Plant, and Equipment</v>
      </c>
      <c r="B14" s="130" t="s">
        <v>151</v>
      </c>
      <c r="C14" s="212" t="s">
        <v>201</v>
      </c>
      <c r="D14" s="212"/>
      <c r="E14" s="212"/>
      <c r="F14" s="212"/>
      <c r="G14" s="212"/>
      <c r="H14" s="212"/>
      <c r="I14" s="212"/>
      <c r="J14" s="212"/>
      <c r="K14" s="212"/>
      <c r="L14" s="212"/>
      <c r="M14" s="103"/>
    </row>
    <row r="15" spans="1:13" ht="28.5" x14ac:dyDescent="0.65">
      <c r="A15" s="177" t="str">
        <f>CONCATENATE('FFM-Functions-Activities'!B7,": ",'FFM-Functions-Activities'!D7)</f>
        <v>Financial Asset Information Management: Financial Asset Information Processing - Loans</v>
      </c>
      <c r="B15" s="131" t="s">
        <v>167</v>
      </c>
      <c r="C15" s="212" t="s">
        <v>202</v>
      </c>
      <c r="D15" s="212"/>
      <c r="E15" s="212"/>
      <c r="F15" s="212"/>
      <c r="G15" s="212"/>
      <c r="H15" s="212"/>
      <c r="I15" s="212"/>
      <c r="J15" s="212"/>
      <c r="K15" s="212"/>
      <c r="L15" s="212"/>
      <c r="M15" s="103"/>
    </row>
    <row r="16" spans="1:13" ht="28.5" customHeight="1" x14ac:dyDescent="0.65">
      <c r="A16" s="177" t="str">
        <f>CONCATENATE('FFM-Functions-Activities'!B8,": ",'FFM-Functions-Activities'!D8)</f>
        <v>Financial Asset Information Management: Financial Asset Information Processing - Heritage Assets and Stewardship Land</v>
      </c>
      <c r="B16" s="131" t="s">
        <v>167</v>
      </c>
      <c r="C16" s="212" t="s">
        <v>202</v>
      </c>
      <c r="D16" s="212"/>
      <c r="E16" s="212"/>
      <c r="F16" s="212"/>
      <c r="G16" s="212"/>
      <c r="H16" s="212"/>
      <c r="I16" s="212"/>
      <c r="J16" s="212"/>
      <c r="K16" s="212"/>
      <c r="L16" s="212"/>
      <c r="M16" s="103"/>
    </row>
    <row r="17" spans="1:13" ht="28.5" customHeight="1" x14ac:dyDescent="0.65">
      <c r="A17" s="177" t="str">
        <f>CONCATENATE('FFM-Functions-Activities'!B9,": ",'FFM-Functions-Activities'!D9)</f>
        <v>Financial Asset Information Management: Financial Asset Information Processing - Federal Oil and Gas Resources</v>
      </c>
      <c r="B17" s="131" t="s">
        <v>167</v>
      </c>
      <c r="C17" s="212" t="s">
        <v>202</v>
      </c>
      <c r="D17" s="212"/>
      <c r="E17" s="212"/>
      <c r="F17" s="212"/>
      <c r="G17" s="212"/>
      <c r="H17" s="212"/>
      <c r="I17" s="212"/>
      <c r="J17" s="212"/>
      <c r="K17" s="212"/>
      <c r="L17" s="212"/>
      <c r="M17" s="103"/>
    </row>
    <row r="18" spans="1:13" ht="28.5" customHeight="1" x14ac:dyDescent="0.65">
      <c r="A18" s="177" t="str">
        <f>CONCATENATE('FFM-Functions-Activities'!B10,": ",'FFM-Functions-Activities'!D10)</f>
        <v>Financial Asset Information Management: Financial Asset Information Processing - Other Federal Assets</v>
      </c>
      <c r="B18" s="131" t="s">
        <v>167</v>
      </c>
      <c r="C18" s="212" t="s">
        <v>202</v>
      </c>
      <c r="D18" s="212"/>
      <c r="E18" s="212"/>
      <c r="F18" s="212"/>
      <c r="G18" s="212"/>
      <c r="H18" s="212"/>
      <c r="I18" s="212"/>
      <c r="J18" s="212"/>
      <c r="K18" s="212"/>
      <c r="L18" s="212"/>
      <c r="M18" s="103"/>
    </row>
    <row r="19" spans="1:13" ht="28.5" x14ac:dyDescent="0.65">
      <c r="A19" s="177" t="str">
        <f>CONCATENATE('FFM-Functions-Activities'!B11,": ",'FFM-Functions-Activities'!D11)</f>
        <v>Financial Asset Information Management: Financial Asset Information Reporting</v>
      </c>
      <c r="B19" s="130" t="s">
        <v>151</v>
      </c>
      <c r="C19" s="212" t="s">
        <v>201</v>
      </c>
      <c r="D19" s="212"/>
      <c r="E19" s="212"/>
      <c r="F19" s="212"/>
      <c r="G19" s="212"/>
      <c r="H19" s="212"/>
      <c r="I19" s="212"/>
      <c r="J19" s="212"/>
      <c r="K19" s="212"/>
      <c r="L19" s="212"/>
      <c r="M19" s="103"/>
    </row>
    <row r="20" spans="1:13" x14ac:dyDescent="0.65">
      <c r="A20" s="177" t="str">
        <f>CONCATENATE('FFM-Functions-Activities'!B12,": ",'FFM-Functions-Activities'!D12)</f>
        <v>Payable Management: Payee Setup and Maintenance</v>
      </c>
      <c r="B20" s="130" t="s">
        <v>151</v>
      </c>
      <c r="C20" s="212" t="s">
        <v>201</v>
      </c>
      <c r="D20" s="212"/>
      <c r="E20" s="212"/>
      <c r="F20" s="212"/>
      <c r="G20" s="212"/>
      <c r="H20" s="212"/>
      <c r="I20" s="212"/>
      <c r="J20" s="212"/>
      <c r="K20" s="212"/>
      <c r="L20" s="212"/>
      <c r="M20" s="103"/>
    </row>
    <row r="21" spans="1:13" x14ac:dyDescent="0.65">
      <c r="A21" s="177" t="str">
        <f>CONCATENATE('FFM-Functions-Activities'!B13,": ",'FFM-Functions-Activities'!D13)</f>
        <v>Payable Management: Obligation Management</v>
      </c>
      <c r="B21" s="130" t="s">
        <v>151</v>
      </c>
      <c r="C21" s="212" t="s">
        <v>201</v>
      </c>
      <c r="D21" s="212"/>
      <c r="E21" s="212"/>
      <c r="F21" s="212"/>
      <c r="G21" s="212"/>
      <c r="H21" s="212"/>
      <c r="I21" s="212"/>
      <c r="J21" s="212"/>
      <c r="K21" s="212"/>
      <c r="L21" s="212"/>
      <c r="M21" s="103"/>
    </row>
    <row r="22" spans="1:13" ht="14.25" customHeight="1" x14ac:dyDescent="0.65">
      <c r="A22" s="177" t="str">
        <f>CONCATENATE('FFM-Functions-Activities'!B14,": ",'FFM-Functions-Activities'!D14)</f>
        <v>Payable Management: Payment Processing - Intragovernmental Payments</v>
      </c>
      <c r="B22" s="130" t="s">
        <v>151</v>
      </c>
      <c r="C22" s="212" t="s">
        <v>201</v>
      </c>
      <c r="D22" s="212"/>
      <c r="E22" s="212"/>
      <c r="F22" s="212"/>
      <c r="G22" s="212"/>
      <c r="H22" s="212"/>
      <c r="I22" s="212"/>
      <c r="J22" s="212"/>
      <c r="K22" s="212"/>
      <c r="L22" s="212"/>
      <c r="M22" s="103"/>
    </row>
    <row r="23" spans="1:13" x14ac:dyDescent="0.65">
      <c r="A23" s="177" t="str">
        <f>CONCATENATE('FFM-Functions-Activities'!B15,": ",'FFM-Functions-Activities'!D15)</f>
        <v>Payable Management: Payment Processing - Payroll Payments</v>
      </c>
      <c r="B23" s="130" t="s">
        <v>151</v>
      </c>
      <c r="C23" s="212" t="s">
        <v>201</v>
      </c>
      <c r="D23" s="212"/>
      <c r="E23" s="212"/>
      <c r="F23" s="212"/>
      <c r="G23" s="212"/>
      <c r="H23" s="212"/>
      <c r="I23" s="212"/>
      <c r="J23" s="212"/>
      <c r="K23" s="212"/>
      <c r="L23" s="212"/>
      <c r="M23" s="103"/>
    </row>
    <row r="24" spans="1:13" ht="28.5" x14ac:dyDescent="0.65">
      <c r="A24" s="177" t="str">
        <f>CONCATENATE('FFM-Functions-Activities'!B16,": ",'FFM-Functions-Activities'!D16)</f>
        <v>Payable Management: Payment Processing - Travel Temporary Duty (TDY) and Local Payments</v>
      </c>
      <c r="B24" s="130" t="s">
        <v>151</v>
      </c>
      <c r="C24" s="212" t="s">
        <v>201</v>
      </c>
      <c r="D24" s="212"/>
      <c r="E24" s="212"/>
      <c r="F24" s="212"/>
      <c r="G24" s="212"/>
      <c r="H24" s="212"/>
      <c r="I24" s="212"/>
      <c r="J24" s="212"/>
      <c r="K24" s="212"/>
      <c r="L24" s="212"/>
      <c r="M24" s="103"/>
    </row>
    <row r="25" spans="1:13" ht="14.25" customHeight="1" x14ac:dyDescent="0.65">
      <c r="A25" s="177" t="str">
        <f>CONCATENATE('FFM-Functions-Activities'!B17,": ",'FFM-Functions-Activities'!D17)</f>
        <v>Payable Management: Payment Processing - Travel PCS Payments</v>
      </c>
      <c r="B25" s="130" t="s">
        <v>151</v>
      </c>
      <c r="C25" s="212" t="s">
        <v>201</v>
      </c>
      <c r="D25" s="212"/>
      <c r="E25" s="212"/>
      <c r="F25" s="212"/>
      <c r="G25" s="212"/>
      <c r="H25" s="212"/>
      <c r="I25" s="212"/>
      <c r="J25" s="212"/>
      <c r="K25" s="212"/>
      <c r="L25" s="212"/>
      <c r="M25" s="103"/>
    </row>
    <row r="26" spans="1:13" ht="14.25" customHeight="1" x14ac:dyDescent="0.65">
      <c r="A26" s="177" t="str">
        <f>CONCATENATE('FFM-Functions-Activities'!B18,": ",'FFM-Functions-Activities'!D18)</f>
        <v>Payable Management: Payment Processing - Commercial Payments</v>
      </c>
      <c r="B26" s="130" t="s">
        <v>151</v>
      </c>
      <c r="C26" s="212" t="s">
        <v>201</v>
      </c>
      <c r="D26" s="212"/>
      <c r="E26" s="212"/>
      <c r="F26" s="212"/>
      <c r="G26" s="212"/>
      <c r="H26" s="212"/>
      <c r="I26" s="212"/>
      <c r="J26" s="212"/>
      <c r="K26" s="212"/>
      <c r="L26" s="212"/>
      <c r="M26" s="103"/>
    </row>
    <row r="27" spans="1:13" ht="14.25" customHeight="1" x14ac:dyDescent="0.65">
      <c r="A27" s="177" t="str">
        <f>CONCATENATE('FFM-Functions-Activities'!B19,": ",'FFM-Functions-Activities'!D19)</f>
        <v>Payable Management: Payment Processing - Grant Payments</v>
      </c>
      <c r="B27" s="131" t="s">
        <v>167</v>
      </c>
      <c r="C27" s="212" t="s">
        <v>202</v>
      </c>
      <c r="D27" s="212"/>
      <c r="E27" s="212"/>
      <c r="F27" s="212"/>
      <c r="G27" s="212"/>
      <c r="H27" s="212"/>
      <c r="I27" s="212"/>
      <c r="J27" s="212"/>
      <c r="K27" s="212"/>
      <c r="L27" s="212"/>
      <c r="M27" s="103"/>
    </row>
    <row r="28" spans="1:13" ht="14.25" customHeight="1" x14ac:dyDescent="0.65">
      <c r="A28" s="177" t="str">
        <f>CONCATENATE('FFM-Functions-Activities'!B20,": ",'FFM-Functions-Activities'!D20)</f>
        <v>Payable Management: Payment Processing - Loan Payments</v>
      </c>
      <c r="B28" s="131" t="s">
        <v>167</v>
      </c>
      <c r="C28" s="212" t="s">
        <v>202</v>
      </c>
      <c r="D28" s="212"/>
      <c r="E28" s="212"/>
      <c r="F28" s="212"/>
      <c r="G28" s="212"/>
      <c r="H28" s="212"/>
      <c r="I28" s="212"/>
      <c r="J28" s="212"/>
      <c r="K28" s="212"/>
      <c r="L28" s="212"/>
      <c r="M28" s="155"/>
    </row>
    <row r="29" spans="1:13" ht="42.75" customHeight="1" x14ac:dyDescent="0.65">
      <c r="A29" s="177" t="str">
        <f>CONCATENATE('FFM-Functions-Activities'!B21,": ",'FFM-Functions-Activities'!D21)</f>
        <v xml:space="preserve">Payable Management: Payment Processing - Other Payments (Foreign and Miscellaneous Payments)
</v>
      </c>
      <c r="B29" s="131" t="s">
        <v>167</v>
      </c>
      <c r="C29" s="212" t="s">
        <v>202</v>
      </c>
      <c r="D29" s="212"/>
      <c r="E29" s="212"/>
      <c r="F29" s="212"/>
      <c r="G29" s="212"/>
      <c r="H29" s="212"/>
      <c r="I29" s="212"/>
      <c r="J29" s="212"/>
      <c r="K29" s="212"/>
      <c r="L29" s="212"/>
      <c r="M29" s="103"/>
    </row>
    <row r="30" spans="1:13" x14ac:dyDescent="0.65">
      <c r="A30" s="177" t="str">
        <f>CONCATENATE('FFM-Functions-Activities'!B22,": ",'FFM-Functions-Activities'!D22)</f>
        <v>Payable Management: Payment Disbursement</v>
      </c>
      <c r="B30" s="130" t="s">
        <v>151</v>
      </c>
      <c r="C30" s="212" t="s">
        <v>201</v>
      </c>
      <c r="D30" s="212"/>
      <c r="E30" s="212"/>
      <c r="F30" s="212"/>
      <c r="G30" s="212"/>
      <c r="H30" s="212"/>
      <c r="I30" s="212"/>
      <c r="J30" s="212"/>
      <c r="K30" s="212"/>
      <c r="L30" s="212"/>
      <c r="M30" s="103"/>
    </row>
    <row r="31" spans="1:13" ht="14.25" customHeight="1" x14ac:dyDescent="0.65">
      <c r="A31" s="177" t="str">
        <f>CONCATENATE('FFM-Functions-Activities'!B23,": ",'FFM-Functions-Activities'!D23)</f>
        <v>Payable Management: Payment Confirmation and Issue Resolution</v>
      </c>
      <c r="B31" s="130" t="s">
        <v>151</v>
      </c>
      <c r="C31" s="212" t="s">
        <v>201</v>
      </c>
      <c r="D31" s="212"/>
      <c r="E31" s="212"/>
      <c r="F31" s="212"/>
      <c r="G31" s="212"/>
      <c r="H31" s="212"/>
      <c r="I31" s="212"/>
      <c r="J31" s="212"/>
      <c r="K31" s="212"/>
      <c r="L31" s="212"/>
      <c r="M31" s="103"/>
    </row>
    <row r="32" spans="1:13" x14ac:dyDescent="0.65">
      <c r="A32" s="177" t="str">
        <f>CONCATENATE('FFM-Functions-Activities'!B24,": ",'FFM-Functions-Activities'!D24)</f>
        <v>Payable Management: Payment Reporting</v>
      </c>
      <c r="B32" s="130" t="s">
        <v>151</v>
      </c>
      <c r="C32" s="212" t="s">
        <v>201</v>
      </c>
      <c r="D32" s="212"/>
      <c r="E32" s="212"/>
      <c r="F32" s="212"/>
      <c r="G32" s="212"/>
      <c r="H32" s="212"/>
      <c r="I32" s="212"/>
      <c r="J32" s="212"/>
      <c r="K32" s="212"/>
      <c r="L32" s="212"/>
      <c r="M32" s="103"/>
    </row>
    <row r="33" spans="1:13" ht="14.25" customHeight="1" x14ac:dyDescent="0.65">
      <c r="A33" s="177" t="str">
        <f>CONCATENATE('FFM-Functions-Activities'!B25,": ",'FFM-Functions-Activities'!D25)</f>
        <v>Revenue Management: Revenue Processing</v>
      </c>
      <c r="B33" s="131" t="s">
        <v>167</v>
      </c>
      <c r="C33" s="212" t="s">
        <v>202</v>
      </c>
      <c r="D33" s="212"/>
      <c r="E33" s="212"/>
      <c r="F33" s="212"/>
      <c r="G33" s="212"/>
      <c r="H33" s="212"/>
      <c r="I33" s="212"/>
      <c r="J33" s="212"/>
      <c r="K33" s="212"/>
      <c r="L33" s="212"/>
      <c r="M33" s="103"/>
    </row>
    <row r="34" spans="1:13" ht="14.25" customHeight="1" x14ac:dyDescent="0.65">
      <c r="A34" s="177" t="str">
        <f>CONCATENATE('FFM-Functions-Activities'!B26,": ",'FFM-Functions-Activities'!D26)</f>
        <v>Revenue Management: Revenue Reporting</v>
      </c>
      <c r="B34" s="131" t="s">
        <v>167</v>
      </c>
      <c r="C34" s="212" t="s">
        <v>202</v>
      </c>
      <c r="D34" s="212"/>
      <c r="E34" s="212"/>
      <c r="F34" s="212"/>
      <c r="G34" s="212"/>
      <c r="H34" s="212"/>
      <c r="I34" s="212"/>
      <c r="J34" s="212"/>
      <c r="K34" s="212"/>
      <c r="L34" s="212"/>
      <c r="M34" s="103"/>
    </row>
    <row r="35" spans="1:13" ht="28.5" customHeight="1" x14ac:dyDescent="0.65">
      <c r="A35" s="177" t="str">
        <f>CONCATENATE('FFM-Functions-Activities'!B27,": ",'FFM-Functions-Activities'!D27)</f>
        <v>Reimbursable Management: Reimbursable Agreement Setup and Maintenance</v>
      </c>
      <c r="B35" s="130" t="s">
        <v>151</v>
      </c>
      <c r="C35" s="212" t="s">
        <v>201</v>
      </c>
      <c r="D35" s="212"/>
      <c r="E35" s="212"/>
      <c r="F35" s="212"/>
      <c r="G35" s="212"/>
      <c r="H35" s="212"/>
      <c r="I35" s="212"/>
      <c r="J35" s="212"/>
      <c r="K35" s="212"/>
      <c r="L35" s="212"/>
      <c r="M35" s="103"/>
    </row>
    <row r="36" spans="1:13" ht="14.25" customHeight="1" x14ac:dyDescent="0.65">
      <c r="A36" s="177" t="str">
        <f>CONCATENATE('FFM-Functions-Activities'!B28,": ",'FFM-Functions-Activities'!D28)</f>
        <v>Reimbursable Management: Reimbursable Invoicing</v>
      </c>
      <c r="B36" s="130" t="s">
        <v>151</v>
      </c>
      <c r="C36" s="212" t="s">
        <v>201</v>
      </c>
      <c r="D36" s="212"/>
      <c r="E36" s="212"/>
      <c r="F36" s="212"/>
      <c r="G36" s="212"/>
      <c r="H36" s="212"/>
      <c r="I36" s="212"/>
      <c r="J36" s="212"/>
      <c r="K36" s="212"/>
      <c r="L36" s="212"/>
      <c r="M36" s="103"/>
    </row>
    <row r="37" spans="1:13" ht="14.25" customHeight="1" x14ac:dyDescent="0.65">
      <c r="A37" s="177" t="str">
        <f>CONCATENATE('FFM-Functions-Activities'!B29,": ",'FFM-Functions-Activities'!D29)</f>
        <v>Reimbursable Management: Reimbursable Receipt Processing</v>
      </c>
      <c r="B37" s="130" t="s">
        <v>151</v>
      </c>
      <c r="C37" s="212" t="s">
        <v>201</v>
      </c>
      <c r="D37" s="212"/>
      <c r="E37" s="212"/>
      <c r="F37" s="212"/>
      <c r="G37" s="212"/>
      <c r="H37" s="212"/>
      <c r="I37" s="212"/>
      <c r="J37" s="212"/>
      <c r="K37" s="212"/>
      <c r="L37" s="212"/>
      <c r="M37" s="103"/>
    </row>
    <row r="38" spans="1:13" ht="14.25" customHeight="1" x14ac:dyDescent="0.65">
      <c r="A38" s="177" t="str">
        <f>CONCATENATE('FFM-Functions-Activities'!B30,": ",'FFM-Functions-Activities'!D30)</f>
        <v>Reimbursable Management: Reimbursable Reconciliation</v>
      </c>
      <c r="B38" s="130" t="s">
        <v>151</v>
      </c>
      <c r="C38" s="212" t="s">
        <v>201</v>
      </c>
      <c r="D38" s="212"/>
      <c r="E38" s="212"/>
      <c r="F38" s="212"/>
      <c r="G38" s="212"/>
      <c r="H38" s="212"/>
      <c r="I38" s="212"/>
      <c r="J38" s="212"/>
      <c r="K38" s="212"/>
      <c r="L38" s="212"/>
      <c r="M38" s="103"/>
    </row>
    <row r="39" spans="1:13" ht="14.25" customHeight="1" x14ac:dyDescent="0.65">
      <c r="A39" s="177" t="str">
        <f>CONCATENATE('FFM-Functions-Activities'!B31,": ",'FFM-Functions-Activities'!D31)</f>
        <v>Reimbursable Management: Reimbursable Closeout</v>
      </c>
      <c r="B39" s="130" t="s">
        <v>151</v>
      </c>
      <c r="C39" s="212" t="s">
        <v>201</v>
      </c>
      <c r="D39" s="212"/>
      <c r="E39" s="212"/>
      <c r="F39" s="212"/>
      <c r="G39" s="212"/>
      <c r="H39" s="212"/>
      <c r="I39" s="212"/>
      <c r="J39" s="212"/>
      <c r="K39" s="212"/>
      <c r="L39" s="212"/>
      <c r="M39" s="103"/>
    </row>
    <row r="40" spans="1:13" ht="14.25" customHeight="1" x14ac:dyDescent="0.65">
      <c r="A40" s="177" t="str">
        <f>CONCATENATE('FFM-Functions-Activities'!B32,": ",'FFM-Functions-Activities'!D32)</f>
        <v>Reimbursable Management: Reimbursable Reporting</v>
      </c>
      <c r="B40" s="130" t="s">
        <v>151</v>
      </c>
      <c r="C40" s="212" t="s">
        <v>201</v>
      </c>
      <c r="D40" s="212"/>
      <c r="E40" s="212"/>
      <c r="F40" s="212"/>
      <c r="G40" s="212"/>
      <c r="H40" s="212"/>
      <c r="I40" s="212"/>
      <c r="J40" s="212"/>
      <c r="K40" s="212"/>
      <c r="L40" s="212"/>
      <c r="M40" s="155"/>
    </row>
    <row r="41" spans="1:13" ht="28.5" x14ac:dyDescent="0.65">
      <c r="A41" s="177" t="str">
        <f>CONCATENATE('FFM-Functions-Activities'!B33,": ",'FFM-Functions-Activities'!D33)</f>
        <v>Receivable and Collection Management: Payer Setup and Maintenance</v>
      </c>
      <c r="B41" s="130" t="s">
        <v>151</v>
      </c>
      <c r="C41" s="212" t="s">
        <v>201</v>
      </c>
      <c r="D41" s="212"/>
      <c r="E41" s="212"/>
      <c r="F41" s="212"/>
      <c r="G41" s="212"/>
      <c r="H41" s="212"/>
      <c r="I41" s="212"/>
      <c r="J41" s="212"/>
      <c r="K41" s="212"/>
      <c r="L41" s="212"/>
      <c r="M41" s="103"/>
    </row>
    <row r="42" spans="1:13" ht="28.5" x14ac:dyDescent="0.65">
      <c r="A42" s="177" t="str">
        <f>CONCATENATE('FFM-Functions-Activities'!B34,": ",'FFM-Functions-Activities'!D34)</f>
        <v>Receivable and Collection Management: Public Receivable Setup and Billing Invoicing</v>
      </c>
      <c r="B42" s="130" t="s">
        <v>151</v>
      </c>
      <c r="C42" s="212" t="s">
        <v>201</v>
      </c>
      <c r="D42" s="212"/>
      <c r="E42" s="212"/>
      <c r="F42" s="212"/>
      <c r="G42" s="212"/>
      <c r="H42" s="212"/>
      <c r="I42" s="212"/>
      <c r="J42" s="212"/>
      <c r="K42" s="212"/>
      <c r="L42" s="212"/>
      <c r="M42" s="103"/>
    </row>
    <row r="43" spans="1:13" ht="14.25" customHeight="1" x14ac:dyDescent="0.65">
      <c r="A43" s="177" t="str">
        <f>CONCATENATE('FFM-Functions-Activities'!B35,": ",'FFM-Functions-Activities'!D35)</f>
        <v>Receivable and Collection Management: Public Receipt Processing</v>
      </c>
      <c r="B43" s="130" t="s">
        <v>151</v>
      </c>
      <c r="C43" s="212" t="s">
        <v>201</v>
      </c>
      <c r="D43" s="212"/>
      <c r="E43" s="212"/>
      <c r="F43" s="212"/>
      <c r="G43" s="212"/>
      <c r="H43" s="212"/>
      <c r="I43" s="212"/>
      <c r="J43" s="212"/>
      <c r="K43" s="212"/>
      <c r="L43" s="212"/>
      <c r="M43" s="103"/>
    </row>
    <row r="44" spans="1:13" ht="28.5" x14ac:dyDescent="0.65">
      <c r="A44" s="177" t="str">
        <f>CONCATENATE('FFM-Functions-Activities'!B36,": ",'FFM-Functions-Activities'!D36)</f>
        <v>Receivable and Collection Management: Credit Memo and Adjustment Processing</v>
      </c>
      <c r="B44" s="130" t="s">
        <v>151</v>
      </c>
      <c r="C44" s="212" t="s">
        <v>201</v>
      </c>
      <c r="D44" s="212"/>
      <c r="E44" s="212"/>
      <c r="F44" s="212"/>
      <c r="G44" s="212"/>
      <c r="H44" s="212"/>
      <c r="I44" s="212"/>
      <c r="J44" s="212"/>
      <c r="K44" s="212"/>
      <c r="L44" s="212"/>
      <c r="M44" s="103"/>
    </row>
    <row r="45" spans="1:13" ht="28.5" x14ac:dyDescent="0.65">
      <c r="A45" s="177" t="str">
        <f>CONCATENATE('FFM-Functions-Activities'!B37,": ",'FFM-Functions-Activities'!D37)</f>
        <v>Receivable and Collection Management: Public Receivable Monitoring and Maintenance</v>
      </c>
      <c r="B45" s="130" t="s">
        <v>151</v>
      </c>
      <c r="C45" s="212" t="s">
        <v>201</v>
      </c>
      <c r="D45" s="212"/>
      <c r="E45" s="212"/>
      <c r="F45" s="212"/>
      <c r="G45" s="212"/>
      <c r="H45" s="212"/>
      <c r="I45" s="212"/>
      <c r="J45" s="212"/>
      <c r="K45" s="212"/>
      <c r="L45" s="212"/>
      <c r="M45" s="103"/>
    </row>
    <row r="46" spans="1:13" ht="28.5" x14ac:dyDescent="0.65">
      <c r="A46" s="177" t="str">
        <f>CONCATENATE('FFM-Functions-Activities'!B38,": ",'FFM-Functions-Activities'!D38)</f>
        <v>Receivable and Collection Management: Public Receivable and Collection Reporting</v>
      </c>
      <c r="B46" s="130" t="s">
        <v>151</v>
      </c>
      <c r="C46" s="212" t="s">
        <v>201</v>
      </c>
      <c r="D46" s="212"/>
      <c r="E46" s="212"/>
      <c r="F46" s="212"/>
      <c r="G46" s="212"/>
      <c r="H46" s="212"/>
      <c r="I46" s="212"/>
      <c r="J46" s="212"/>
      <c r="K46" s="212"/>
      <c r="L46" s="212"/>
      <c r="M46" s="103"/>
    </row>
    <row r="47" spans="1:13" x14ac:dyDescent="0.65">
      <c r="A47" s="177" t="str">
        <f>CONCATENATE('FFM-Functions-Activities'!B39,": ",'FFM-Functions-Activities'!D39)</f>
        <v>Delinquent Debt Management: Delinquent Debt Collection</v>
      </c>
      <c r="B47" s="130" t="s">
        <v>151</v>
      </c>
      <c r="C47" s="212" t="s">
        <v>201</v>
      </c>
      <c r="D47" s="212"/>
      <c r="E47" s="212"/>
      <c r="F47" s="212"/>
      <c r="G47" s="212"/>
      <c r="H47" s="212"/>
      <c r="I47" s="212"/>
      <c r="J47" s="212"/>
      <c r="K47" s="212"/>
      <c r="L47" s="212"/>
      <c r="M47" s="103"/>
    </row>
    <row r="48" spans="1:13" ht="14.25" customHeight="1" x14ac:dyDescent="0.65">
      <c r="A48" s="177" t="str">
        <f>CONCATENATE('FFM-Functions-Activities'!B40,": ",'FFM-Functions-Activities'!D40)</f>
        <v>Delinquent Debt Management: Delinquent Debt Write-off and Closeout</v>
      </c>
      <c r="B48" s="130" t="s">
        <v>151</v>
      </c>
      <c r="C48" s="212" t="s">
        <v>201</v>
      </c>
      <c r="D48" s="212"/>
      <c r="E48" s="212"/>
      <c r="F48" s="212"/>
      <c r="G48" s="212"/>
      <c r="H48" s="212"/>
      <c r="I48" s="212"/>
      <c r="J48" s="212"/>
      <c r="K48" s="212"/>
      <c r="L48" s="212"/>
      <c r="M48" s="103"/>
    </row>
    <row r="49" spans="1:13" x14ac:dyDescent="0.65">
      <c r="A49" s="177" t="str">
        <f>CONCATENATE('FFM-Functions-Activities'!B41,": ",'FFM-Functions-Activities'!D41)</f>
        <v>Delinquent Debt Management: Delinquent Debt Reporting</v>
      </c>
      <c r="B49" s="130" t="s">
        <v>151</v>
      </c>
      <c r="C49" s="212" t="s">
        <v>201</v>
      </c>
      <c r="D49" s="212"/>
      <c r="E49" s="212"/>
      <c r="F49" s="212"/>
      <c r="G49" s="212"/>
      <c r="H49" s="212"/>
      <c r="I49" s="212"/>
      <c r="J49" s="212"/>
      <c r="K49" s="212"/>
      <c r="L49" s="212"/>
      <c r="M49" s="103"/>
    </row>
    <row r="50" spans="1:13" ht="14.25" customHeight="1" x14ac:dyDescent="0.65">
      <c r="A50" s="177" t="str">
        <f>CONCATENATE('FFM-Functions-Activities'!B42,": ",'FFM-Functions-Activities'!D42)</f>
        <v>Cost Management: Cost Management Setup and Maintenance</v>
      </c>
      <c r="B50" s="131" t="s">
        <v>167</v>
      </c>
      <c r="C50" s="212" t="s">
        <v>202</v>
      </c>
      <c r="D50" s="212"/>
      <c r="E50" s="212"/>
      <c r="F50" s="212"/>
      <c r="G50" s="212"/>
      <c r="H50" s="212"/>
      <c r="I50" s="212"/>
      <c r="J50" s="212"/>
      <c r="K50" s="212"/>
      <c r="L50" s="212"/>
      <c r="M50" s="103"/>
    </row>
    <row r="51" spans="1:13" ht="14.25" customHeight="1" x14ac:dyDescent="0.65">
      <c r="A51" s="177" t="str">
        <f>CONCATENATE('FFM-Functions-Activities'!B43,": ",'FFM-Functions-Activities'!D43)</f>
        <v>Cost Management: Cost Accumulation and Allocation</v>
      </c>
      <c r="B51" s="131" t="s">
        <v>167</v>
      </c>
      <c r="C51" s="212" t="s">
        <v>202</v>
      </c>
      <c r="D51" s="212"/>
      <c r="E51" s="212"/>
      <c r="F51" s="212"/>
      <c r="G51" s="212"/>
      <c r="H51" s="212"/>
      <c r="I51" s="212"/>
      <c r="J51" s="212"/>
      <c r="K51" s="212"/>
      <c r="L51" s="212"/>
      <c r="M51" s="103"/>
    </row>
    <row r="52" spans="1:13" ht="14.25" customHeight="1" x14ac:dyDescent="0.65">
      <c r="A52" s="177" t="str">
        <f>CONCATENATE('FFM-Functions-Activities'!B44,": ",'FFM-Functions-Activities'!D44)</f>
        <v>Cost Management: Cost Reporting</v>
      </c>
      <c r="B52" s="131" t="s">
        <v>167</v>
      </c>
      <c r="C52" s="212" t="s">
        <v>202</v>
      </c>
      <c r="D52" s="212"/>
      <c r="E52" s="212"/>
      <c r="F52" s="212"/>
      <c r="G52" s="212"/>
      <c r="H52" s="212"/>
      <c r="I52" s="212"/>
      <c r="J52" s="212"/>
      <c r="K52" s="212"/>
      <c r="L52" s="212"/>
      <c r="M52" s="155"/>
    </row>
    <row r="53" spans="1:13" ht="28.5" x14ac:dyDescent="0.65">
      <c r="A53" s="177" t="str">
        <f>CONCATENATE('FFM-Functions-Activities'!B45,": ",'FFM-Functions-Activities'!D45)</f>
        <v>General Ledger Management: General Ledger Setup and Maintenance</v>
      </c>
      <c r="B53" s="130" t="s">
        <v>151</v>
      </c>
      <c r="C53" s="212" t="s">
        <v>201</v>
      </c>
      <c r="D53" s="212"/>
      <c r="E53" s="212"/>
      <c r="F53" s="212"/>
      <c r="G53" s="212"/>
      <c r="H53" s="212"/>
      <c r="I53" s="212"/>
      <c r="J53" s="212"/>
      <c r="K53" s="212"/>
      <c r="L53" s="212"/>
      <c r="M53" s="103"/>
    </row>
    <row r="54" spans="1:13" x14ac:dyDescent="0.65">
      <c r="A54" s="177" t="str">
        <f>CONCATENATE('FFM-Functions-Activities'!B46,": ",'FFM-Functions-Activities'!D46)</f>
        <v>General Ledger Management: General Ledger Posting</v>
      </c>
      <c r="B54" s="130" t="s">
        <v>151</v>
      </c>
      <c r="C54" s="212" t="s">
        <v>201</v>
      </c>
      <c r="D54" s="212"/>
      <c r="E54" s="212"/>
      <c r="F54" s="212"/>
      <c r="G54" s="212"/>
      <c r="H54" s="212"/>
      <c r="I54" s="212"/>
      <c r="J54" s="212"/>
      <c r="K54" s="212"/>
      <c r="L54" s="212"/>
      <c r="M54" s="103"/>
    </row>
    <row r="55" spans="1:13" ht="14.25" customHeight="1" x14ac:dyDescent="0.65">
      <c r="A55" s="177" t="str">
        <f>CONCATENATE('FFM-Functions-Activities'!B47,": ",'FFM-Functions-Activities'!D47)</f>
        <v xml:space="preserve">General Ledger Management: Accrual and Liability/Asset Processing </v>
      </c>
      <c r="B55" s="130" t="s">
        <v>151</v>
      </c>
      <c r="C55" s="212" t="s">
        <v>201</v>
      </c>
      <c r="D55" s="212"/>
      <c r="E55" s="212"/>
      <c r="F55" s="212"/>
      <c r="G55" s="212"/>
      <c r="H55" s="212"/>
      <c r="I55" s="212"/>
      <c r="J55" s="212"/>
      <c r="K55" s="212"/>
      <c r="L55" s="212"/>
      <c r="M55" s="103"/>
    </row>
    <row r="56" spans="1:13" x14ac:dyDescent="0.65">
      <c r="A56" s="177" t="str">
        <f>CONCATENATE('FFM-Functions-Activities'!B48,": ",'FFM-Functions-Activities'!D48)</f>
        <v>General Ledger Management: Period End Closing</v>
      </c>
      <c r="B56" s="130" t="s">
        <v>151</v>
      </c>
      <c r="C56" s="212" t="s">
        <v>201</v>
      </c>
      <c r="D56" s="212"/>
      <c r="E56" s="212"/>
      <c r="F56" s="212"/>
      <c r="G56" s="212"/>
      <c r="H56" s="212"/>
      <c r="I56" s="212"/>
      <c r="J56" s="212"/>
      <c r="K56" s="212"/>
      <c r="L56" s="212"/>
      <c r="M56" s="103"/>
    </row>
    <row r="57" spans="1:13" ht="14.25" customHeight="1" x14ac:dyDescent="0.65">
      <c r="A57" s="177" t="str">
        <f>CONCATENATE('FFM-Functions-Activities'!B49,": ",'FFM-Functions-Activities'!D49)</f>
        <v>Financial Reconciliation: Reconciliation of General Ledger and Subledgers</v>
      </c>
      <c r="B57" s="130" t="s">
        <v>151</v>
      </c>
      <c r="C57" s="212" t="s">
        <v>201</v>
      </c>
      <c r="D57" s="212"/>
      <c r="E57" s="212"/>
      <c r="F57" s="212"/>
      <c r="G57" s="212"/>
      <c r="H57" s="212"/>
      <c r="I57" s="212"/>
      <c r="J57" s="212"/>
      <c r="K57" s="212"/>
      <c r="L57" s="212"/>
      <c r="M57" s="103"/>
    </row>
    <row r="58" spans="1:13" ht="14.25" customHeight="1" x14ac:dyDescent="0.65">
      <c r="A58" s="177" t="str">
        <f>CONCATENATE('FFM-Functions-Activities'!B50,": ",'FFM-Functions-Activities'!D50)</f>
        <v>Financial Reconciliation: Reconciliation of Intragovernmental Activity</v>
      </c>
      <c r="B58" s="130" t="s">
        <v>151</v>
      </c>
      <c r="C58" s="212" t="s">
        <v>201</v>
      </c>
      <c r="D58" s="212"/>
      <c r="E58" s="212"/>
      <c r="F58" s="212"/>
      <c r="G58" s="212"/>
      <c r="H58" s="212"/>
      <c r="I58" s="212"/>
      <c r="J58" s="212"/>
      <c r="K58" s="212"/>
      <c r="L58" s="212"/>
      <c r="M58" s="103"/>
    </row>
    <row r="59" spans="1:13" x14ac:dyDescent="0.65">
      <c r="A59" s="177" t="str">
        <f>CONCATENATE('FFM-Functions-Activities'!B51,": ",'FFM-Functions-Activities'!D51)</f>
        <v>Financial Reconciliation: Reconciliation with Treasury Balance</v>
      </c>
      <c r="B59" s="130" t="s">
        <v>151</v>
      </c>
      <c r="C59" s="212" t="s">
        <v>201</v>
      </c>
      <c r="D59" s="212"/>
      <c r="E59" s="212"/>
      <c r="F59" s="212"/>
      <c r="G59" s="212"/>
      <c r="H59" s="212"/>
      <c r="I59" s="212"/>
      <c r="J59" s="212"/>
      <c r="K59" s="212"/>
      <c r="L59" s="212"/>
      <c r="M59" s="103"/>
    </row>
    <row r="60" spans="1:13" x14ac:dyDescent="0.65">
      <c r="A60" s="177" t="str">
        <f>CONCATENATE('FFM-Functions-Activities'!B52,": ",'FFM-Functions-Activities'!D52)</f>
        <v>Financial / Performance Reporting: Treasury Reporting</v>
      </c>
      <c r="B60" s="130" t="s">
        <v>151</v>
      </c>
      <c r="C60" s="212" t="s">
        <v>201</v>
      </c>
      <c r="D60" s="212"/>
      <c r="E60" s="212"/>
      <c r="F60" s="212"/>
      <c r="G60" s="212"/>
      <c r="H60" s="212"/>
      <c r="I60" s="212"/>
      <c r="J60" s="212"/>
      <c r="K60" s="212"/>
      <c r="L60" s="212"/>
      <c r="M60" s="103"/>
    </row>
    <row r="61" spans="1:13" ht="14.25" customHeight="1" x14ac:dyDescent="0.65">
      <c r="A61" s="177" t="str">
        <f>CONCATENATE('FFM-Functions-Activities'!B53,": ",'FFM-Functions-Activities'!D53)</f>
        <v>Financial / Performance Reporting: Financial Statement Preparation</v>
      </c>
      <c r="B61" s="130" t="s">
        <v>151</v>
      </c>
      <c r="C61" s="212" t="s">
        <v>201</v>
      </c>
      <c r="D61" s="212"/>
      <c r="E61" s="212"/>
      <c r="F61" s="212"/>
      <c r="G61" s="212"/>
      <c r="H61" s="212"/>
      <c r="I61" s="212"/>
      <c r="J61" s="212"/>
      <c r="K61" s="212"/>
      <c r="L61" s="212"/>
      <c r="M61" s="103"/>
    </row>
    <row r="62" spans="1:13" ht="28.5" customHeight="1" x14ac:dyDescent="0.65">
      <c r="A62" s="177" t="str">
        <f>CONCATENATE('FFM-Functions-Activities'!B54,": ",'FFM-Functions-Activities'!D54)</f>
        <v>Financial / Performance Reporting: Cash Forecasting and Reporting</v>
      </c>
      <c r="B62" s="131" t="s">
        <v>167</v>
      </c>
      <c r="C62" s="212" t="s">
        <v>202</v>
      </c>
      <c r="D62" s="212"/>
      <c r="E62" s="212"/>
      <c r="F62" s="212"/>
      <c r="G62" s="212"/>
      <c r="H62" s="212"/>
      <c r="I62" s="212"/>
      <c r="J62" s="212"/>
      <c r="K62" s="212"/>
      <c r="L62" s="212"/>
      <c r="M62" s="103"/>
    </row>
    <row r="63" spans="1:13" ht="28.5" customHeight="1" x14ac:dyDescent="0.65">
      <c r="A63" s="177" t="str">
        <f>CONCATENATE('FFM-Functions-Activities'!B55,": ",'FFM-Functions-Activities'!D55)</f>
        <v>Financial / Performance Reporting: Financial Performance and Operational Reporting</v>
      </c>
      <c r="B63" s="131" t="s">
        <v>167</v>
      </c>
      <c r="C63" s="212" t="s">
        <v>202</v>
      </c>
      <c r="D63" s="212"/>
      <c r="E63" s="212"/>
      <c r="F63" s="212"/>
      <c r="G63" s="212"/>
      <c r="H63" s="212"/>
      <c r="I63" s="212"/>
      <c r="J63" s="212"/>
      <c r="K63" s="212"/>
      <c r="L63" s="212"/>
      <c r="M63" s="103"/>
    </row>
    <row r="64" spans="1:13" ht="28.5" x14ac:dyDescent="0.65">
      <c r="A64" s="177" t="str">
        <f>CONCATENATE('FFM-Functions-Activities'!B56,": ",'FFM-Functions-Activities'!D56)</f>
        <v xml:space="preserve">Financial / Performance Reporting: Internal Control/Compliance Reviews </v>
      </c>
      <c r="B64" s="130" t="s">
        <v>151</v>
      </c>
      <c r="C64" s="212" t="s">
        <v>203</v>
      </c>
      <c r="D64" s="212"/>
      <c r="E64" s="212"/>
      <c r="F64" s="212"/>
      <c r="G64" s="212"/>
      <c r="H64" s="212"/>
      <c r="I64" s="212"/>
      <c r="J64" s="212"/>
      <c r="K64" s="212"/>
      <c r="L64" s="212"/>
      <c r="M64" s="103"/>
    </row>
    <row r="65" spans="1:13" ht="18.75" customHeight="1" x14ac:dyDescent="0.65">
      <c r="A65" s="177"/>
      <c r="B65" s="177"/>
      <c r="C65" s="203"/>
      <c r="D65" s="203"/>
      <c r="E65" s="203"/>
      <c r="F65" s="203"/>
      <c r="G65" s="203"/>
      <c r="H65" s="203"/>
      <c r="I65" s="203"/>
      <c r="J65" s="203"/>
      <c r="K65" s="203"/>
      <c r="L65" s="203"/>
      <c r="M65" s="155"/>
    </row>
    <row r="66" spans="1:13" s="102" customFormat="1" x14ac:dyDescent="0.65">
      <c r="A66" s="108" t="s">
        <v>56</v>
      </c>
      <c r="D66" s="210"/>
      <c r="E66" s="210"/>
      <c r="F66" s="210"/>
      <c r="G66" s="210"/>
      <c r="H66" s="210"/>
      <c r="I66" s="210"/>
      <c r="J66" s="210"/>
      <c r="K66" s="210"/>
      <c r="L66" s="210"/>
    </row>
    <row r="67" spans="1:13" s="46" customFormat="1" ht="14.45" customHeight="1" x14ac:dyDescent="0.7">
      <c r="A67" s="45" t="s">
        <v>57</v>
      </c>
      <c r="B67" s="215" t="s">
        <v>58</v>
      </c>
      <c r="C67" s="215"/>
      <c r="D67" s="215"/>
      <c r="E67" s="215"/>
      <c r="F67" s="215"/>
      <c r="G67" s="215"/>
      <c r="H67" s="215" t="s">
        <v>59</v>
      </c>
      <c r="I67" s="215"/>
      <c r="J67" s="215" t="s">
        <v>60</v>
      </c>
      <c r="K67" s="215"/>
      <c r="L67" s="208" t="s">
        <v>61</v>
      </c>
      <c r="M67" s="178"/>
    </row>
    <row r="68" spans="1:13" s="46" customFormat="1" ht="14.45" customHeight="1" x14ac:dyDescent="0.7">
      <c r="A68" s="45" t="s">
        <v>62</v>
      </c>
      <c r="B68" s="201" t="s">
        <v>63</v>
      </c>
      <c r="C68" s="201" t="s">
        <v>64</v>
      </c>
      <c r="D68" s="201" t="s">
        <v>65</v>
      </c>
      <c r="E68" s="201" t="s">
        <v>66</v>
      </c>
      <c r="F68" s="201" t="s">
        <v>67</v>
      </c>
      <c r="G68" s="201" t="s">
        <v>68</v>
      </c>
      <c r="H68" s="201" t="s">
        <v>69</v>
      </c>
      <c r="I68" s="201" t="s">
        <v>70</v>
      </c>
      <c r="J68" s="201" t="s">
        <v>69</v>
      </c>
      <c r="K68" s="201" t="s">
        <v>70</v>
      </c>
      <c r="L68" s="208"/>
      <c r="M68" s="178"/>
    </row>
    <row r="69" spans="1:13" s="46" customFormat="1" ht="14.5" x14ac:dyDescent="0.7">
      <c r="A69" s="47" t="s">
        <v>21</v>
      </c>
      <c r="B69" s="199"/>
      <c r="C69" s="199"/>
      <c r="D69" s="199"/>
      <c r="E69" s="199"/>
      <c r="F69" s="199"/>
      <c r="G69" s="199"/>
      <c r="H69" s="199"/>
      <c r="I69" s="199"/>
      <c r="J69" s="199"/>
      <c r="K69" s="199"/>
      <c r="L69" s="208"/>
      <c r="M69" s="178"/>
    </row>
    <row r="70" spans="1:13" s="50" customFormat="1" ht="14.5" x14ac:dyDescent="0.7">
      <c r="A70" s="48" t="s">
        <v>71</v>
      </c>
      <c r="B70" s="49"/>
      <c r="C70" s="49"/>
      <c r="D70" s="49"/>
      <c r="E70" s="49"/>
      <c r="F70" s="49"/>
      <c r="G70" s="49"/>
      <c r="H70" s="49"/>
      <c r="I70" s="49"/>
      <c r="J70" s="49"/>
      <c r="K70" s="49"/>
      <c r="L70" s="49"/>
    </row>
    <row r="71" spans="1:13" s="46" customFormat="1" x14ac:dyDescent="0.65">
      <c r="A71" s="177" t="s">
        <v>72</v>
      </c>
      <c r="B71" s="177" t="s">
        <v>164</v>
      </c>
      <c r="C71" s="177" t="s">
        <v>164</v>
      </c>
      <c r="D71" s="177" t="s">
        <v>164</v>
      </c>
      <c r="E71" s="177" t="s">
        <v>164</v>
      </c>
      <c r="F71" s="177" t="s">
        <v>164</v>
      </c>
      <c r="G71" s="177" t="s">
        <v>164</v>
      </c>
      <c r="H71" s="177" t="s">
        <v>164</v>
      </c>
      <c r="I71" s="177" t="s">
        <v>164</v>
      </c>
      <c r="J71" s="177" t="s">
        <v>164</v>
      </c>
      <c r="K71" s="177" t="s">
        <v>164</v>
      </c>
      <c r="L71" s="177"/>
      <c r="M71" s="178"/>
    </row>
    <row r="72" spans="1:13" s="46" customFormat="1" x14ac:dyDescent="0.65">
      <c r="A72" s="177" t="s">
        <v>73</v>
      </c>
      <c r="B72" s="177" t="s">
        <v>164</v>
      </c>
      <c r="C72" s="177" t="s">
        <v>164</v>
      </c>
      <c r="D72" s="177" t="s">
        <v>164</v>
      </c>
      <c r="E72" s="177" t="s">
        <v>164</v>
      </c>
      <c r="F72" s="177" t="s">
        <v>164</v>
      </c>
      <c r="G72" s="177" t="s">
        <v>164</v>
      </c>
      <c r="H72" s="177" t="s">
        <v>164</v>
      </c>
      <c r="I72" s="177" t="s">
        <v>164</v>
      </c>
      <c r="J72" s="177" t="s">
        <v>164</v>
      </c>
      <c r="K72" s="177" t="s">
        <v>164</v>
      </c>
      <c r="L72" s="177"/>
      <c r="M72" s="178"/>
    </row>
    <row r="73" spans="1:13" s="46" customFormat="1" x14ac:dyDescent="0.65">
      <c r="A73" s="177" t="s">
        <v>74</v>
      </c>
      <c r="B73" s="177" t="s">
        <v>164</v>
      </c>
      <c r="C73" s="177" t="s">
        <v>164</v>
      </c>
      <c r="D73" s="177" t="s">
        <v>164</v>
      </c>
      <c r="E73" s="177" t="s">
        <v>164</v>
      </c>
      <c r="F73" s="177" t="s">
        <v>164</v>
      </c>
      <c r="G73" s="177" t="s">
        <v>164</v>
      </c>
      <c r="H73" s="177" t="s">
        <v>164</v>
      </c>
      <c r="I73" s="177" t="s">
        <v>164</v>
      </c>
      <c r="J73" s="177" t="s">
        <v>164</v>
      </c>
      <c r="K73" s="177" t="s">
        <v>164</v>
      </c>
      <c r="L73" s="177"/>
      <c r="M73" s="178"/>
    </row>
    <row r="74" spans="1:13" s="46" customFormat="1" x14ac:dyDescent="0.65">
      <c r="A74" s="177" t="s">
        <v>75</v>
      </c>
      <c r="B74" s="177" t="s">
        <v>164</v>
      </c>
      <c r="C74" s="177" t="s">
        <v>164</v>
      </c>
      <c r="D74" s="177" t="s">
        <v>164</v>
      </c>
      <c r="E74" s="177" t="s">
        <v>164</v>
      </c>
      <c r="F74" s="177" t="s">
        <v>164</v>
      </c>
      <c r="G74" s="177" t="s">
        <v>164</v>
      </c>
      <c r="H74" s="177" t="s">
        <v>164</v>
      </c>
      <c r="I74" s="177" t="s">
        <v>164</v>
      </c>
      <c r="J74" s="177" t="s">
        <v>164</v>
      </c>
      <c r="K74" s="177" t="s">
        <v>164</v>
      </c>
      <c r="L74" s="177"/>
      <c r="M74" s="178"/>
    </row>
    <row r="75" spans="1:13" s="46" customFormat="1" x14ac:dyDescent="0.65">
      <c r="A75" s="177" t="s">
        <v>76</v>
      </c>
      <c r="B75" s="177" t="s">
        <v>164</v>
      </c>
      <c r="C75" s="177" t="s">
        <v>164</v>
      </c>
      <c r="D75" s="177" t="s">
        <v>164</v>
      </c>
      <c r="E75" s="177" t="s">
        <v>164</v>
      </c>
      <c r="F75" s="177" t="s">
        <v>164</v>
      </c>
      <c r="G75" s="177" t="s">
        <v>164</v>
      </c>
      <c r="H75" s="177" t="s">
        <v>164</v>
      </c>
      <c r="I75" s="177" t="s">
        <v>164</v>
      </c>
      <c r="J75" s="177" t="s">
        <v>164</v>
      </c>
      <c r="K75" s="177" t="s">
        <v>164</v>
      </c>
      <c r="L75" s="177"/>
      <c r="M75" s="178"/>
    </row>
    <row r="76" spans="1:13" s="46" customFormat="1" x14ac:dyDescent="0.65">
      <c r="A76" s="177" t="s">
        <v>77</v>
      </c>
      <c r="B76" s="177" t="s">
        <v>164</v>
      </c>
      <c r="C76" s="177" t="s">
        <v>164</v>
      </c>
      <c r="D76" s="177" t="s">
        <v>164</v>
      </c>
      <c r="E76" s="177" t="s">
        <v>164</v>
      </c>
      <c r="F76" s="177" t="s">
        <v>164</v>
      </c>
      <c r="G76" s="177" t="s">
        <v>164</v>
      </c>
      <c r="H76" s="177" t="s">
        <v>164</v>
      </c>
      <c r="I76" s="177" t="s">
        <v>164</v>
      </c>
      <c r="J76" s="177" t="s">
        <v>164</v>
      </c>
      <c r="K76" s="177" t="s">
        <v>164</v>
      </c>
      <c r="L76" s="177"/>
      <c r="M76" s="178"/>
    </row>
    <row r="77" spans="1:13" s="46" customFormat="1" x14ac:dyDescent="0.65">
      <c r="A77" s="177" t="s">
        <v>78</v>
      </c>
      <c r="B77" s="177" t="s">
        <v>164</v>
      </c>
      <c r="C77" s="177" t="s">
        <v>164</v>
      </c>
      <c r="D77" s="177" t="s">
        <v>164</v>
      </c>
      <c r="E77" s="177" t="s">
        <v>164</v>
      </c>
      <c r="F77" s="177" t="s">
        <v>164</v>
      </c>
      <c r="G77" s="177" t="s">
        <v>164</v>
      </c>
      <c r="H77" s="177" t="s">
        <v>164</v>
      </c>
      <c r="I77" s="177" t="s">
        <v>164</v>
      </c>
      <c r="J77" s="177" t="s">
        <v>164</v>
      </c>
      <c r="K77" s="177" t="s">
        <v>164</v>
      </c>
      <c r="L77" s="177"/>
      <c r="M77" s="178"/>
    </row>
    <row r="78" spans="1:13" s="46" customFormat="1" x14ac:dyDescent="0.65">
      <c r="A78" s="177" t="s">
        <v>79</v>
      </c>
      <c r="B78" s="177" t="s">
        <v>164</v>
      </c>
      <c r="C78" s="177" t="s">
        <v>164</v>
      </c>
      <c r="D78" s="177" t="s">
        <v>164</v>
      </c>
      <c r="E78" s="177" t="s">
        <v>164</v>
      </c>
      <c r="F78" s="177" t="s">
        <v>164</v>
      </c>
      <c r="G78" s="177" t="s">
        <v>164</v>
      </c>
      <c r="H78" s="177" t="s">
        <v>164</v>
      </c>
      <c r="I78" s="177" t="s">
        <v>164</v>
      </c>
      <c r="J78" s="177" t="s">
        <v>164</v>
      </c>
      <c r="K78" s="177" t="s">
        <v>164</v>
      </c>
      <c r="L78" s="177"/>
      <c r="M78" s="178"/>
    </row>
    <row r="79" spans="1:13" s="46" customFormat="1" x14ac:dyDescent="0.65">
      <c r="A79" s="177" t="s">
        <v>80</v>
      </c>
      <c r="B79" s="177" t="s">
        <v>164</v>
      </c>
      <c r="C79" s="177" t="s">
        <v>164</v>
      </c>
      <c r="D79" s="177" t="s">
        <v>164</v>
      </c>
      <c r="E79" s="177" t="s">
        <v>164</v>
      </c>
      <c r="F79" s="177" t="s">
        <v>164</v>
      </c>
      <c r="G79" s="177" t="s">
        <v>164</v>
      </c>
      <c r="H79" s="177" t="s">
        <v>164</v>
      </c>
      <c r="I79" s="177" t="s">
        <v>164</v>
      </c>
      <c r="J79" s="177" t="s">
        <v>164</v>
      </c>
      <c r="K79" s="177" t="s">
        <v>164</v>
      </c>
      <c r="L79" s="177"/>
      <c r="M79" s="178"/>
    </row>
    <row r="80" spans="1:13" s="46" customFormat="1" x14ac:dyDescent="0.65">
      <c r="A80" s="177" t="s">
        <v>81</v>
      </c>
      <c r="B80" s="177" t="s">
        <v>164</v>
      </c>
      <c r="C80" s="177" t="s">
        <v>164</v>
      </c>
      <c r="D80" s="177" t="s">
        <v>164</v>
      </c>
      <c r="E80" s="177" t="s">
        <v>164</v>
      </c>
      <c r="F80" s="177" t="s">
        <v>164</v>
      </c>
      <c r="G80" s="177" t="s">
        <v>164</v>
      </c>
      <c r="H80" s="177" t="s">
        <v>164</v>
      </c>
      <c r="I80" s="177" t="s">
        <v>164</v>
      </c>
      <c r="J80" s="177" t="s">
        <v>164</v>
      </c>
      <c r="K80" s="177" t="s">
        <v>164</v>
      </c>
      <c r="L80" s="177"/>
      <c r="M80" s="178"/>
    </row>
    <row r="81" spans="1:12" s="46" customFormat="1" x14ac:dyDescent="0.65">
      <c r="A81" s="177" t="s">
        <v>82</v>
      </c>
      <c r="B81" s="177" t="s">
        <v>164</v>
      </c>
      <c r="C81" s="177" t="s">
        <v>164</v>
      </c>
      <c r="D81" s="177" t="s">
        <v>164</v>
      </c>
      <c r="E81" s="177" t="s">
        <v>164</v>
      </c>
      <c r="F81" s="177" t="s">
        <v>164</v>
      </c>
      <c r="G81" s="177" t="s">
        <v>164</v>
      </c>
      <c r="H81" s="177" t="s">
        <v>164</v>
      </c>
      <c r="I81" s="177" t="s">
        <v>164</v>
      </c>
      <c r="J81" s="177" t="s">
        <v>164</v>
      </c>
      <c r="K81" s="177" t="s">
        <v>164</v>
      </c>
      <c r="L81" s="177"/>
    </row>
    <row r="82" spans="1:12" s="46" customFormat="1" x14ac:dyDescent="0.65">
      <c r="A82" s="177" t="s">
        <v>83</v>
      </c>
      <c r="B82" s="177" t="s">
        <v>164</v>
      </c>
      <c r="C82" s="177" t="s">
        <v>164</v>
      </c>
      <c r="D82" s="177" t="s">
        <v>164</v>
      </c>
      <c r="E82" s="177" t="s">
        <v>164</v>
      </c>
      <c r="F82" s="177" t="s">
        <v>164</v>
      </c>
      <c r="G82" s="177" t="s">
        <v>164</v>
      </c>
      <c r="H82" s="177" t="s">
        <v>164</v>
      </c>
      <c r="I82" s="177" t="s">
        <v>164</v>
      </c>
      <c r="J82" s="177" t="s">
        <v>164</v>
      </c>
      <c r="K82" s="177" t="s">
        <v>164</v>
      </c>
      <c r="L82" s="177"/>
    </row>
    <row r="83" spans="1:12" s="46" customFormat="1" x14ac:dyDescent="0.65">
      <c r="A83" s="177" t="s">
        <v>84</v>
      </c>
      <c r="B83" s="177" t="s">
        <v>164</v>
      </c>
      <c r="C83" s="177" t="s">
        <v>164</v>
      </c>
      <c r="D83" s="177" t="s">
        <v>164</v>
      </c>
      <c r="E83" s="177" t="s">
        <v>164</v>
      </c>
      <c r="F83" s="177" t="s">
        <v>164</v>
      </c>
      <c r="G83" s="177" t="s">
        <v>164</v>
      </c>
      <c r="H83" s="177" t="s">
        <v>164</v>
      </c>
      <c r="I83" s="177" t="s">
        <v>164</v>
      </c>
      <c r="J83" s="177" t="s">
        <v>164</v>
      </c>
      <c r="K83" s="177" t="s">
        <v>164</v>
      </c>
      <c r="L83" s="177"/>
    </row>
    <row r="84" spans="1:12" s="46" customFormat="1" x14ac:dyDescent="0.65">
      <c r="A84" s="177" t="s">
        <v>85</v>
      </c>
      <c r="B84" s="177" t="s">
        <v>164</v>
      </c>
      <c r="C84" s="177" t="s">
        <v>164</v>
      </c>
      <c r="D84" s="177" t="s">
        <v>164</v>
      </c>
      <c r="E84" s="177" t="s">
        <v>151</v>
      </c>
      <c r="F84" s="177" t="s">
        <v>164</v>
      </c>
      <c r="G84" s="177" t="s">
        <v>164</v>
      </c>
      <c r="H84" s="177" t="s">
        <v>164</v>
      </c>
      <c r="I84" s="177" t="s">
        <v>164</v>
      </c>
      <c r="J84" s="177" t="s">
        <v>164</v>
      </c>
      <c r="K84" s="177" t="s">
        <v>164</v>
      </c>
      <c r="L84" s="177"/>
    </row>
    <row r="85" spans="1:12" s="46" customFormat="1" x14ac:dyDescent="0.65">
      <c r="A85" s="177" t="s">
        <v>86</v>
      </c>
      <c r="B85" s="177" t="s">
        <v>164</v>
      </c>
      <c r="C85" s="177" t="s">
        <v>164</v>
      </c>
      <c r="D85" s="177" t="s">
        <v>164</v>
      </c>
      <c r="E85" s="177" t="s">
        <v>151</v>
      </c>
      <c r="F85" s="177" t="s">
        <v>164</v>
      </c>
      <c r="G85" s="177" t="s">
        <v>164</v>
      </c>
      <c r="H85" s="177" t="s">
        <v>164</v>
      </c>
      <c r="I85" s="177" t="s">
        <v>164</v>
      </c>
      <c r="J85" s="177" t="s">
        <v>164</v>
      </c>
      <c r="K85" s="177" t="s">
        <v>164</v>
      </c>
      <c r="L85" s="177"/>
    </row>
    <row r="86" spans="1:12" s="46" customFormat="1" ht="28.5" x14ac:dyDescent="0.65">
      <c r="A86" s="177" t="s">
        <v>87</v>
      </c>
      <c r="B86" s="177" t="s">
        <v>164</v>
      </c>
      <c r="C86" s="177" t="s">
        <v>164</v>
      </c>
      <c r="D86" s="177" t="s">
        <v>164</v>
      </c>
      <c r="E86" s="177" t="s">
        <v>164</v>
      </c>
      <c r="F86" s="177" t="s">
        <v>164</v>
      </c>
      <c r="G86" s="177" t="s">
        <v>164</v>
      </c>
      <c r="H86" s="130" t="s">
        <v>151</v>
      </c>
      <c r="I86" s="177" t="s">
        <v>164</v>
      </c>
      <c r="J86" s="177" t="s">
        <v>164</v>
      </c>
      <c r="K86" s="130" t="s">
        <v>151</v>
      </c>
      <c r="L86" s="177"/>
    </row>
    <row r="87" spans="1:12" s="46" customFormat="1" x14ac:dyDescent="0.65">
      <c r="A87" s="135" t="s">
        <v>88</v>
      </c>
      <c r="B87" s="177" t="s">
        <v>164</v>
      </c>
      <c r="C87" s="177" t="s">
        <v>164</v>
      </c>
      <c r="D87" s="177" t="s">
        <v>164</v>
      </c>
      <c r="E87" s="177" t="s">
        <v>164</v>
      </c>
      <c r="F87" s="177" t="s">
        <v>164</v>
      </c>
      <c r="G87" s="177" t="s">
        <v>164</v>
      </c>
      <c r="H87" s="177" t="s">
        <v>164</v>
      </c>
      <c r="I87" s="177" t="s">
        <v>164</v>
      </c>
      <c r="J87" s="177" t="s">
        <v>164</v>
      </c>
      <c r="K87" s="177" t="s">
        <v>164</v>
      </c>
      <c r="L87" s="177"/>
    </row>
    <row r="88" spans="1:12" s="46" customFormat="1" ht="19.5" customHeight="1" x14ac:dyDescent="0.65">
      <c r="A88" s="135" t="s">
        <v>89</v>
      </c>
      <c r="B88" s="177" t="s">
        <v>164</v>
      </c>
      <c r="C88" s="177" t="s">
        <v>164</v>
      </c>
      <c r="D88" s="177" t="s">
        <v>164</v>
      </c>
      <c r="E88" s="177" t="s">
        <v>164</v>
      </c>
      <c r="F88" s="177" t="s">
        <v>164</v>
      </c>
      <c r="G88" s="177" t="s">
        <v>164</v>
      </c>
      <c r="H88" s="130" t="s">
        <v>151</v>
      </c>
      <c r="I88" s="177" t="s">
        <v>164</v>
      </c>
      <c r="J88" s="177" t="s">
        <v>164</v>
      </c>
      <c r="K88" s="130" t="s">
        <v>151</v>
      </c>
      <c r="L88" s="177"/>
    </row>
    <row r="89" spans="1:12" s="46" customFormat="1" x14ac:dyDescent="0.65">
      <c r="A89" s="135" t="s">
        <v>90</v>
      </c>
      <c r="B89" s="177" t="s">
        <v>164</v>
      </c>
      <c r="C89" s="177" t="s">
        <v>164</v>
      </c>
      <c r="D89" s="177" t="s">
        <v>164</v>
      </c>
      <c r="E89" s="177" t="s">
        <v>164</v>
      </c>
      <c r="F89" s="130" t="s">
        <v>151</v>
      </c>
      <c r="G89" s="177" t="s">
        <v>164</v>
      </c>
      <c r="H89" s="130" t="s">
        <v>151</v>
      </c>
      <c r="I89" s="177" t="s">
        <v>164</v>
      </c>
      <c r="J89" s="177" t="s">
        <v>164</v>
      </c>
      <c r="K89" s="177" t="s">
        <v>164</v>
      </c>
      <c r="L89" s="177"/>
    </row>
    <row r="90" spans="1:12" s="46" customFormat="1" x14ac:dyDescent="0.65">
      <c r="A90" s="135" t="s">
        <v>91</v>
      </c>
      <c r="B90" s="177" t="s">
        <v>164</v>
      </c>
      <c r="C90" s="177" t="s">
        <v>164</v>
      </c>
      <c r="D90" s="177" t="s">
        <v>164</v>
      </c>
      <c r="E90" s="177" t="s">
        <v>164</v>
      </c>
      <c r="F90" s="130" t="s">
        <v>151</v>
      </c>
      <c r="G90" s="177" t="s">
        <v>164</v>
      </c>
      <c r="H90" s="130" t="s">
        <v>151</v>
      </c>
      <c r="I90" s="177" t="s">
        <v>164</v>
      </c>
      <c r="J90" s="177" t="s">
        <v>164</v>
      </c>
      <c r="K90" s="177" t="s">
        <v>164</v>
      </c>
      <c r="L90" s="177"/>
    </row>
    <row r="91" spans="1:12" s="46" customFormat="1" x14ac:dyDescent="0.65">
      <c r="A91" s="135" t="s">
        <v>92</v>
      </c>
      <c r="B91" s="177" t="s">
        <v>164</v>
      </c>
      <c r="C91" s="177" t="s">
        <v>164</v>
      </c>
      <c r="D91" s="177" t="s">
        <v>164</v>
      </c>
      <c r="E91" s="177" t="s">
        <v>164</v>
      </c>
      <c r="F91" s="130" t="s">
        <v>151</v>
      </c>
      <c r="G91" s="177" t="s">
        <v>164</v>
      </c>
      <c r="H91" s="130" t="s">
        <v>151</v>
      </c>
      <c r="I91" s="177" t="s">
        <v>164</v>
      </c>
      <c r="J91" s="177" t="s">
        <v>164</v>
      </c>
      <c r="K91" s="177" t="s">
        <v>164</v>
      </c>
      <c r="L91" s="177"/>
    </row>
    <row r="92" spans="1:12" s="46" customFormat="1" x14ac:dyDescent="0.65">
      <c r="A92" s="135" t="s">
        <v>93</v>
      </c>
      <c r="B92" s="177" t="s">
        <v>164</v>
      </c>
      <c r="C92" s="177" t="s">
        <v>164</v>
      </c>
      <c r="D92" s="177" t="s">
        <v>164</v>
      </c>
      <c r="E92" s="177" t="s">
        <v>164</v>
      </c>
      <c r="F92" s="130" t="s">
        <v>151</v>
      </c>
      <c r="G92" s="177" t="s">
        <v>164</v>
      </c>
      <c r="H92" s="130" t="s">
        <v>151</v>
      </c>
      <c r="I92" s="130" t="s">
        <v>151</v>
      </c>
      <c r="J92" s="177" t="s">
        <v>164</v>
      </c>
      <c r="K92" s="130" t="s">
        <v>151</v>
      </c>
      <c r="L92" s="177"/>
    </row>
    <row r="93" spans="1:12" s="50" customFormat="1" ht="14.5" x14ac:dyDescent="0.65">
      <c r="A93" s="149" t="s">
        <v>94</v>
      </c>
      <c r="B93" s="150"/>
      <c r="C93" s="150"/>
      <c r="D93" s="150"/>
      <c r="E93" s="150"/>
      <c r="F93" s="150"/>
      <c r="G93" s="150"/>
      <c r="H93" s="150"/>
      <c r="I93" s="150"/>
      <c r="J93" s="150"/>
      <c r="K93" s="150"/>
      <c r="L93" s="150"/>
    </row>
    <row r="94" spans="1:12" s="46" customFormat="1" x14ac:dyDescent="0.65">
      <c r="A94" s="177" t="s">
        <v>95</v>
      </c>
      <c r="B94" s="177" t="s">
        <v>164</v>
      </c>
      <c r="C94" s="177" t="s">
        <v>164</v>
      </c>
      <c r="D94" s="177" t="s">
        <v>164</v>
      </c>
      <c r="E94" s="177" t="s">
        <v>164</v>
      </c>
      <c r="F94" s="177" t="s">
        <v>164</v>
      </c>
      <c r="G94" s="177" t="s">
        <v>164</v>
      </c>
      <c r="H94" s="177" t="s">
        <v>164</v>
      </c>
      <c r="I94" s="177" t="s">
        <v>164</v>
      </c>
      <c r="J94" s="177" t="s">
        <v>164</v>
      </c>
      <c r="K94" s="177" t="s">
        <v>164</v>
      </c>
      <c r="L94" s="177"/>
    </row>
    <row r="95" spans="1:12" s="46" customFormat="1" x14ac:dyDescent="0.65">
      <c r="A95" s="177" t="s">
        <v>96</v>
      </c>
      <c r="B95" s="177" t="s">
        <v>164</v>
      </c>
      <c r="C95" s="177" t="s">
        <v>164</v>
      </c>
      <c r="D95" s="177" t="s">
        <v>164</v>
      </c>
      <c r="E95" s="177" t="s">
        <v>164</v>
      </c>
      <c r="F95" s="177" t="s">
        <v>164</v>
      </c>
      <c r="G95" s="177" t="s">
        <v>164</v>
      </c>
      <c r="H95" s="177" t="s">
        <v>164</v>
      </c>
      <c r="I95" s="177" t="s">
        <v>164</v>
      </c>
      <c r="J95" s="177" t="s">
        <v>164</v>
      </c>
      <c r="K95" s="177" t="s">
        <v>164</v>
      </c>
      <c r="L95" s="177"/>
    </row>
    <row r="96" spans="1:12" s="46" customFormat="1" x14ac:dyDescent="0.65">
      <c r="A96" s="177" t="s">
        <v>97</v>
      </c>
      <c r="B96" s="177" t="s">
        <v>164</v>
      </c>
      <c r="C96" s="177" t="s">
        <v>164</v>
      </c>
      <c r="D96" s="177" t="s">
        <v>164</v>
      </c>
      <c r="E96" s="177" t="s">
        <v>164</v>
      </c>
      <c r="F96" s="177" t="s">
        <v>164</v>
      </c>
      <c r="G96" s="177" t="s">
        <v>164</v>
      </c>
      <c r="H96" s="177" t="s">
        <v>164</v>
      </c>
      <c r="I96" s="177" t="s">
        <v>164</v>
      </c>
      <c r="J96" s="177" t="s">
        <v>164</v>
      </c>
      <c r="K96" s="177" t="s">
        <v>164</v>
      </c>
      <c r="L96" s="177"/>
    </row>
    <row r="97" spans="1:12" s="46" customFormat="1" ht="33.65" customHeight="1" x14ac:dyDescent="0.65">
      <c r="A97" s="177" t="s">
        <v>98</v>
      </c>
      <c r="B97" s="177" t="s">
        <v>164</v>
      </c>
      <c r="C97" s="177" t="s">
        <v>164</v>
      </c>
      <c r="D97" s="177" t="s">
        <v>164</v>
      </c>
      <c r="E97" s="177" t="s">
        <v>164</v>
      </c>
      <c r="F97" s="177" t="s">
        <v>164</v>
      </c>
      <c r="G97" s="177" t="s">
        <v>164</v>
      </c>
      <c r="H97" s="177" t="s">
        <v>164</v>
      </c>
      <c r="I97" s="177" t="s">
        <v>164</v>
      </c>
      <c r="J97" s="177" t="s">
        <v>164</v>
      </c>
      <c r="K97" s="177" t="s">
        <v>164</v>
      </c>
      <c r="L97" s="177"/>
    </row>
    <row r="98" spans="1:12" s="46" customFormat="1" ht="28.5" x14ac:dyDescent="0.65">
      <c r="A98" s="177" t="s">
        <v>99</v>
      </c>
      <c r="B98" s="131" t="s">
        <v>177</v>
      </c>
      <c r="C98" s="177" t="s">
        <v>164</v>
      </c>
      <c r="D98" s="177" t="s">
        <v>164</v>
      </c>
      <c r="E98" s="177" t="s">
        <v>164</v>
      </c>
      <c r="F98" s="177" t="s">
        <v>164</v>
      </c>
      <c r="G98" s="177" t="s">
        <v>164</v>
      </c>
      <c r="H98" s="177" t="s">
        <v>164</v>
      </c>
      <c r="I98" s="177" t="s">
        <v>164</v>
      </c>
      <c r="J98" s="177" t="s">
        <v>164</v>
      </c>
      <c r="K98" s="177" t="s">
        <v>164</v>
      </c>
      <c r="L98" s="82" t="s">
        <v>204</v>
      </c>
    </row>
    <row r="99" spans="1:12" s="46" customFormat="1" ht="28.5" x14ac:dyDescent="0.65">
      <c r="A99" s="177" t="s">
        <v>100</v>
      </c>
      <c r="B99" s="177" t="s">
        <v>164</v>
      </c>
      <c r="C99" s="177" t="s">
        <v>164</v>
      </c>
      <c r="D99" s="177" t="s">
        <v>164</v>
      </c>
      <c r="E99" s="177" t="s">
        <v>164</v>
      </c>
      <c r="F99" s="177" t="s">
        <v>164</v>
      </c>
      <c r="G99" s="177" t="s">
        <v>164</v>
      </c>
      <c r="H99" s="177" t="s">
        <v>164</v>
      </c>
      <c r="I99" s="177" t="s">
        <v>164</v>
      </c>
      <c r="J99" s="177" t="s">
        <v>164</v>
      </c>
      <c r="K99" s="177" t="s">
        <v>164</v>
      </c>
      <c r="L99" s="177"/>
    </row>
    <row r="100" spans="1:12" s="46" customFormat="1" ht="28.5" x14ac:dyDescent="0.65">
      <c r="A100" s="177" t="s">
        <v>101</v>
      </c>
      <c r="B100" s="131" t="s">
        <v>177</v>
      </c>
      <c r="C100" s="177" t="s">
        <v>164</v>
      </c>
      <c r="D100" s="177" t="s">
        <v>164</v>
      </c>
      <c r="E100" s="177" t="s">
        <v>164</v>
      </c>
      <c r="F100" s="177" t="s">
        <v>164</v>
      </c>
      <c r="G100" s="177" t="s">
        <v>164</v>
      </c>
      <c r="H100" s="177" t="s">
        <v>164</v>
      </c>
      <c r="I100" s="177" t="s">
        <v>164</v>
      </c>
      <c r="J100" s="177" t="s">
        <v>164</v>
      </c>
      <c r="K100" s="177" t="s">
        <v>164</v>
      </c>
      <c r="L100" s="82" t="s">
        <v>204</v>
      </c>
    </row>
    <row r="101" spans="1:12" s="46" customFormat="1" ht="42.75" x14ac:dyDescent="0.65">
      <c r="A101" s="177" t="s">
        <v>102</v>
      </c>
      <c r="B101" s="177" t="s">
        <v>164</v>
      </c>
      <c r="C101" s="131" t="s">
        <v>177</v>
      </c>
      <c r="D101" s="177" t="s">
        <v>164</v>
      </c>
      <c r="E101" s="177" t="s">
        <v>164</v>
      </c>
      <c r="F101" s="177" t="s">
        <v>164</v>
      </c>
      <c r="G101" s="131" t="s">
        <v>177</v>
      </c>
      <c r="H101" s="131" t="s">
        <v>177</v>
      </c>
      <c r="I101" s="177" t="s">
        <v>164</v>
      </c>
      <c r="J101" s="177" t="s">
        <v>164</v>
      </c>
      <c r="K101" s="177" t="s">
        <v>164</v>
      </c>
      <c r="L101" s="82" t="s">
        <v>205</v>
      </c>
    </row>
    <row r="102" spans="1:12" s="46" customFormat="1" x14ac:dyDescent="0.65">
      <c r="A102" s="177" t="s">
        <v>103</v>
      </c>
      <c r="B102" s="177" t="s">
        <v>164</v>
      </c>
      <c r="C102" s="177" t="s">
        <v>164</v>
      </c>
      <c r="D102" s="177" t="s">
        <v>164</v>
      </c>
      <c r="E102" s="177" t="s">
        <v>164</v>
      </c>
      <c r="F102" s="177" t="s">
        <v>164</v>
      </c>
      <c r="G102" s="177" t="s">
        <v>164</v>
      </c>
      <c r="H102" s="177" t="s">
        <v>164</v>
      </c>
      <c r="I102" s="177" t="s">
        <v>164</v>
      </c>
      <c r="J102" s="177" t="s">
        <v>164</v>
      </c>
      <c r="K102" s="177" t="s">
        <v>164</v>
      </c>
      <c r="L102" s="177"/>
    </row>
    <row r="103" spans="1:12" s="46" customFormat="1" x14ac:dyDescent="0.65">
      <c r="A103" s="177" t="s">
        <v>104</v>
      </c>
      <c r="B103" s="177" t="s">
        <v>164</v>
      </c>
      <c r="C103" s="177" t="s">
        <v>164</v>
      </c>
      <c r="D103" s="177" t="s">
        <v>164</v>
      </c>
      <c r="E103" s="177" t="s">
        <v>164</v>
      </c>
      <c r="F103" s="177" t="s">
        <v>164</v>
      </c>
      <c r="G103" s="177" t="s">
        <v>164</v>
      </c>
      <c r="H103" s="177" t="s">
        <v>164</v>
      </c>
      <c r="I103" s="177" t="s">
        <v>164</v>
      </c>
      <c r="J103" s="177" t="s">
        <v>164</v>
      </c>
      <c r="K103" s="177" t="s">
        <v>164</v>
      </c>
      <c r="L103" s="177"/>
    </row>
    <row r="104" spans="1:12" s="50" customFormat="1" ht="14.5" x14ac:dyDescent="0.65">
      <c r="A104" s="149" t="s">
        <v>105</v>
      </c>
      <c r="B104" s="150"/>
      <c r="C104" s="150"/>
      <c r="D104" s="150"/>
      <c r="E104" s="150"/>
      <c r="F104" s="150"/>
      <c r="G104" s="150"/>
      <c r="H104" s="150"/>
      <c r="I104" s="150"/>
      <c r="J104" s="150"/>
      <c r="K104" s="150"/>
      <c r="L104" s="150"/>
    </row>
    <row r="105" spans="1:12" s="46" customFormat="1" x14ac:dyDescent="0.65">
      <c r="A105" s="177" t="s">
        <v>106</v>
      </c>
      <c r="B105" s="177" t="s">
        <v>164</v>
      </c>
      <c r="C105" s="177" t="s">
        <v>164</v>
      </c>
      <c r="D105" s="177" t="s">
        <v>164</v>
      </c>
      <c r="E105" s="177" t="s">
        <v>164</v>
      </c>
      <c r="F105" s="177" t="s">
        <v>164</v>
      </c>
      <c r="G105" s="177" t="s">
        <v>164</v>
      </c>
      <c r="H105" s="177" t="s">
        <v>164</v>
      </c>
      <c r="I105" s="177" t="s">
        <v>164</v>
      </c>
      <c r="J105" s="177" t="s">
        <v>164</v>
      </c>
      <c r="K105" s="177" t="s">
        <v>164</v>
      </c>
      <c r="L105" s="177"/>
    </row>
    <row r="106" spans="1:12" s="46" customFormat="1" x14ac:dyDescent="0.65">
      <c r="A106" s="177" t="s">
        <v>107</v>
      </c>
      <c r="B106" s="177" t="s">
        <v>164</v>
      </c>
      <c r="C106" s="177" t="s">
        <v>164</v>
      </c>
      <c r="D106" s="177" t="s">
        <v>164</v>
      </c>
      <c r="E106" s="177" t="s">
        <v>164</v>
      </c>
      <c r="F106" s="177" t="s">
        <v>164</v>
      </c>
      <c r="G106" s="177" t="s">
        <v>164</v>
      </c>
      <c r="H106" s="177" t="s">
        <v>164</v>
      </c>
      <c r="I106" s="177" t="s">
        <v>164</v>
      </c>
      <c r="J106" s="177" t="s">
        <v>164</v>
      </c>
      <c r="K106" s="177" t="s">
        <v>164</v>
      </c>
      <c r="L106" s="177"/>
    </row>
    <row r="107" spans="1:12" s="46" customFormat="1" x14ac:dyDescent="0.65">
      <c r="A107" s="177" t="s">
        <v>108</v>
      </c>
      <c r="B107" s="177" t="s">
        <v>164</v>
      </c>
      <c r="C107" s="177" t="s">
        <v>164</v>
      </c>
      <c r="D107" s="177" t="s">
        <v>164</v>
      </c>
      <c r="E107" s="177" t="s">
        <v>164</v>
      </c>
      <c r="F107" s="177" t="s">
        <v>164</v>
      </c>
      <c r="G107" s="177" t="s">
        <v>164</v>
      </c>
      <c r="H107" s="177" t="s">
        <v>164</v>
      </c>
      <c r="I107" s="177" t="s">
        <v>164</v>
      </c>
      <c r="J107" s="177" t="s">
        <v>164</v>
      </c>
      <c r="K107" s="177" t="s">
        <v>164</v>
      </c>
      <c r="L107" s="177"/>
    </row>
    <row r="108" spans="1:12" s="46" customFormat="1" x14ac:dyDescent="0.65">
      <c r="A108" s="177" t="s">
        <v>109</v>
      </c>
      <c r="B108" s="177" t="s">
        <v>164</v>
      </c>
      <c r="C108" s="177" t="s">
        <v>164</v>
      </c>
      <c r="D108" s="177" t="s">
        <v>164</v>
      </c>
      <c r="E108" s="177" t="s">
        <v>164</v>
      </c>
      <c r="F108" s="177" t="s">
        <v>164</v>
      </c>
      <c r="G108" s="177" t="s">
        <v>164</v>
      </c>
      <c r="H108" s="177" t="s">
        <v>164</v>
      </c>
      <c r="I108" s="177" t="s">
        <v>164</v>
      </c>
      <c r="J108" s="177" t="s">
        <v>164</v>
      </c>
      <c r="K108" s="177" t="s">
        <v>164</v>
      </c>
      <c r="L108" s="177"/>
    </row>
    <row r="109" spans="1:12" s="46" customFormat="1" x14ac:dyDescent="0.65">
      <c r="A109" s="177" t="s">
        <v>110</v>
      </c>
      <c r="B109" s="177" t="s">
        <v>164</v>
      </c>
      <c r="C109" s="177" t="s">
        <v>164</v>
      </c>
      <c r="D109" s="177" t="s">
        <v>164</v>
      </c>
      <c r="E109" s="177" t="s">
        <v>164</v>
      </c>
      <c r="F109" s="177" t="s">
        <v>164</v>
      </c>
      <c r="G109" s="177" t="s">
        <v>164</v>
      </c>
      <c r="H109" s="177" t="s">
        <v>164</v>
      </c>
      <c r="I109" s="177" t="s">
        <v>164</v>
      </c>
      <c r="J109" s="177" t="s">
        <v>164</v>
      </c>
      <c r="K109" s="177" t="s">
        <v>164</v>
      </c>
      <c r="L109" s="177"/>
    </row>
    <row r="110" spans="1:12" s="46" customFormat="1" x14ac:dyDescent="0.65">
      <c r="A110" s="177" t="s">
        <v>111</v>
      </c>
      <c r="B110" s="177" t="s">
        <v>164</v>
      </c>
      <c r="C110" s="177" t="s">
        <v>164</v>
      </c>
      <c r="D110" s="177" t="s">
        <v>164</v>
      </c>
      <c r="E110" s="177" t="s">
        <v>164</v>
      </c>
      <c r="F110" s="177" t="s">
        <v>164</v>
      </c>
      <c r="G110" s="177" t="s">
        <v>164</v>
      </c>
      <c r="H110" s="177" t="s">
        <v>164</v>
      </c>
      <c r="I110" s="177" t="s">
        <v>164</v>
      </c>
      <c r="J110" s="177" t="s">
        <v>164</v>
      </c>
      <c r="K110" s="177" t="s">
        <v>164</v>
      </c>
      <c r="L110" s="177"/>
    </row>
    <row r="111" spans="1:12" s="46" customFormat="1" x14ac:dyDescent="0.65">
      <c r="A111" s="137" t="s">
        <v>112</v>
      </c>
      <c r="B111" s="177" t="s">
        <v>164</v>
      </c>
      <c r="C111" s="177" t="s">
        <v>164</v>
      </c>
      <c r="D111" s="177" t="s">
        <v>164</v>
      </c>
      <c r="E111" s="177" t="s">
        <v>164</v>
      </c>
      <c r="F111" s="177" t="s">
        <v>164</v>
      </c>
      <c r="G111" s="177" t="s">
        <v>164</v>
      </c>
      <c r="H111" s="177" t="s">
        <v>164</v>
      </c>
      <c r="I111" s="177" t="s">
        <v>164</v>
      </c>
      <c r="J111" s="177" t="s">
        <v>164</v>
      </c>
      <c r="K111" s="177" t="s">
        <v>164</v>
      </c>
      <c r="L111" s="177"/>
    </row>
    <row r="112" spans="1:12" s="46" customFormat="1" x14ac:dyDescent="0.65">
      <c r="A112" s="137" t="s">
        <v>113</v>
      </c>
      <c r="B112" s="177" t="s">
        <v>164</v>
      </c>
      <c r="C112" s="177" t="s">
        <v>164</v>
      </c>
      <c r="D112" s="177" t="s">
        <v>164</v>
      </c>
      <c r="E112" s="177" t="s">
        <v>164</v>
      </c>
      <c r="F112" s="177" t="s">
        <v>164</v>
      </c>
      <c r="G112" s="177" t="s">
        <v>164</v>
      </c>
      <c r="H112" s="177" t="s">
        <v>164</v>
      </c>
      <c r="I112" s="177" t="s">
        <v>164</v>
      </c>
      <c r="J112" s="177" t="s">
        <v>164</v>
      </c>
      <c r="K112" s="177" t="s">
        <v>164</v>
      </c>
      <c r="L112" s="177"/>
    </row>
    <row r="113" spans="1:12" s="46" customFormat="1" x14ac:dyDescent="0.65">
      <c r="A113" s="137" t="s">
        <v>114</v>
      </c>
      <c r="B113" s="177" t="s">
        <v>164</v>
      </c>
      <c r="C113" s="177" t="s">
        <v>164</v>
      </c>
      <c r="D113" s="177" t="s">
        <v>164</v>
      </c>
      <c r="E113" s="177" t="s">
        <v>164</v>
      </c>
      <c r="F113" s="177" t="s">
        <v>164</v>
      </c>
      <c r="G113" s="177" t="s">
        <v>164</v>
      </c>
      <c r="H113" s="177" t="s">
        <v>164</v>
      </c>
      <c r="I113" s="177" t="s">
        <v>164</v>
      </c>
      <c r="J113" s="177" t="s">
        <v>164</v>
      </c>
      <c r="K113" s="177" t="s">
        <v>164</v>
      </c>
      <c r="L113" s="177"/>
    </row>
    <row r="114" spans="1:12" s="46" customFormat="1" x14ac:dyDescent="0.65">
      <c r="A114" s="137" t="s">
        <v>115</v>
      </c>
      <c r="B114" s="177" t="s">
        <v>164</v>
      </c>
      <c r="C114" s="177" t="s">
        <v>164</v>
      </c>
      <c r="D114" s="177" t="s">
        <v>164</v>
      </c>
      <c r="E114" s="177" t="s">
        <v>164</v>
      </c>
      <c r="F114" s="177" t="s">
        <v>164</v>
      </c>
      <c r="G114" s="177" t="s">
        <v>164</v>
      </c>
      <c r="H114" s="177" t="s">
        <v>164</v>
      </c>
      <c r="I114" s="177" t="s">
        <v>164</v>
      </c>
      <c r="J114" s="177" t="s">
        <v>164</v>
      </c>
      <c r="K114" s="177" t="s">
        <v>164</v>
      </c>
      <c r="L114" s="177"/>
    </row>
    <row r="115" spans="1:12" s="46" customFormat="1" x14ac:dyDescent="0.65">
      <c r="A115" s="137" t="s">
        <v>116</v>
      </c>
      <c r="B115" s="177" t="s">
        <v>164</v>
      </c>
      <c r="C115" s="177" t="s">
        <v>164</v>
      </c>
      <c r="D115" s="177" t="s">
        <v>164</v>
      </c>
      <c r="E115" s="177" t="s">
        <v>164</v>
      </c>
      <c r="F115" s="177" t="s">
        <v>164</v>
      </c>
      <c r="G115" s="177" t="s">
        <v>164</v>
      </c>
      <c r="H115" s="177" t="s">
        <v>164</v>
      </c>
      <c r="I115" s="177" t="s">
        <v>164</v>
      </c>
      <c r="J115" s="177" t="s">
        <v>164</v>
      </c>
      <c r="K115" s="177" t="s">
        <v>164</v>
      </c>
      <c r="L115" s="177"/>
    </row>
    <row r="116" spans="1:12" s="46" customFormat="1" ht="99.75" x14ac:dyDescent="0.65">
      <c r="A116" s="118" t="s">
        <v>117</v>
      </c>
      <c r="B116" s="177" t="s">
        <v>164</v>
      </c>
      <c r="C116" s="177" t="s">
        <v>164</v>
      </c>
      <c r="D116" s="131" t="s">
        <v>177</v>
      </c>
      <c r="E116" s="131" t="s">
        <v>177</v>
      </c>
      <c r="F116" s="177" t="s">
        <v>164</v>
      </c>
      <c r="G116" s="177" t="s">
        <v>164</v>
      </c>
      <c r="H116" s="177" t="s">
        <v>164</v>
      </c>
      <c r="I116" s="177" t="s">
        <v>164</v>
      </c>
      <c r="J116" s="177" t="s">
        <v>164</v>
      </c>
      <c r="K116" s="177" t="s">
        <v>164</v>
      </c>
      <c r="L116" s="177" t="s">
        <v>206</v>
      </c>
    </row>
    <row r="117" spans="1:12" s="46" customFormat="1" x14ac:dyDescent="0.65">
      <c r="A117" s="118" t="s">
        <v>118</v>
      </c>
      <c r="B117" s="177" t="s">
        <v>164</v>
      </c>
      <c r="C117" s="177" t="s">
        <v>164</v>
      </c>
      <c r="D117" s="177" t="s">
        <v>164</v>
      </c>
      <c r="E117" s="177" t="s">
        <v>164</v>
      </c>
      <c r="F117" s="177" t="s">
        <v>164</v>
      </c>
      <c r="G117" s="177" t="s">
        <v>164</v>
      </c>
      <c r="H117" s="177" t="s">
        <v>164</v>
      </c>
      <c r="I117" s="177" t="s">
        <v>164</v>
      </c>
      <c r="J117" s="177" t="s">
        <v>164</v>
      </c>
      <c r="K117" s="177" t="s">
        <v>164</v>
      </c>
      <c r="L117" s="177"/>
    </row>
    <row r="118" spans="1:12" s="46" customFormat="1" ht="42.75" x14ac:dyDescent="0.65">
      <c r="A118" s="118" t="s">
        <v>119</v>
      </c>
      <c r="B118" s="177" t="s">
        <v>164</v>
      </c>
      <c r="C118" s="177" t="s">
        <v>164</v>
      </c>
      <c r="D118" s="131" t="s">
        <v>177</v>
      </c>
      <c r="E118" s="131" t="s">
        <v>177</v>
      </c>
      <c r="F118" s="177" t="s">
        <v>164</v>
      </c>
      <c r="G118" s="177" t="s">
        <v>164</v>
      </c>
      <c r="H118" s="177" t="s">
        <v>164</v>
      </c>
      <c r="I118" s="177" t="s">
        <v>164</v>
      </c>
      <c r="J118" s="177" t="s">
        <v>164</v>
      </c>
      <c r="K118" s="177" t="s">
        <v>164</v>
      </c>
      <c r="L118" s="177" t="s">
        <v>207</v>
      </c>
    </row>
    <row r="119" spans="1:12" s="46" customFormat="1" x14ac:dyDescent="0.65">
      <c r="A119" s="138" t="s">
        <v>120</v>
      </c>
      <c r="B119" s="177" t="s">
        <v>164</v>
      </c>
      <c r="C119" s="177" t="s">
        <v>164</v>
      </c>
      <c r="D119" s="177" t="s">
        <v>164</v>
      </c>
      <c r="E119" s="177" t="s">
        <v>164</v>
      </c>
      <c r="F119" s="177" t="s">
        <v>164</v>
      </c>
      <c r="G119" s="177" t="s">
        <v>164</v>
      </c>
      <c r="H119" s="177" t="s">
        <v>164</v>
      </c>
      <c r="I119" s="177" t="s">
        <v>164</v>
      </c>
      <c r="J119" s="177" t="s">
        <v>164</v>
      </c>
      <c r="K119" s="177" t="s">
        <v>164</v>
      </c>
      <c r="L119" s="177"/>
    </row>
    <row r="120" spans="1:12" s="50" customFormat="1" ht="14.5" x14ac:dyDescent="0.65">
      <c r="A120" s="151" t="s">
        <v>121</v>
      </c>
      <c r="B120" s="150"/>
      <c r="C120" s="150"/>
      <c r="D120" s="150"/>
      <c r="E120" s="150"/>
      <c r="F120" s="150"/>
      <c r="G120" s="150"/>
      <c r="H120" s="150"/>
      <c r="I120" s="150"/>
      <c r="J120" s="150"/>
      <c r="K120" s="150"/>
      <c r="L120" s="150"/>
    </row>
    <row r="121" spans="1:12" s="41" customFormat="1" x14ac:dyDescent="0.75">
      <c r="A121" s="137" t="s">
        <v>122</v>
      </c>
      <c r="B121" s="177" t="s">
        <v>164</v>
      </c>
      <c r="C121" s="177" t="s">
        <v>164</v>
      </c>
      <c r="D121" s="177" t="s">
        <v>164</v>
      </c>
      <c r="E121" s="177" t="s">
        <v>164</v>
      </c>
      <c r="F121" s="177" t="s">
        <v>164</v>
      </c>
      <c r="G121" s="177" t="s">
        <v>164</v>
      </c>
      <c r="H121" s="177" t="s">
        <v>164</v>
      </c>
      <c r="I121" s="177" t="s">
        <v>164</v>
      </c>
      <c r="J121" s="177" t="s">
        <v>164</v>
      </c>
      <c r="K121" s="177" t="s">
        <v>164</v>
      </c>
      <c r="L121" s="177"/>
    </row>
    <row r="122" spans="1:12" s="52" customFormat="1" x14ac:dyDescent="0.65">
      <c r="A122" s="137" t="s">
        <v>123</v>
      </c>
      <c r="B122" s="177" t="s">
        <v>164</v>
      </c>
      <c r="C122" s="177" t="s">
        <v>164</v>
      </c>
      <c r="D122" s="177" t="s">
        <v>164</v>
      </c>
      <c r="E122" s="177" t="s">
        <v>164</v>
      </c>
      <c r="F122" s="177" t="s">
        <v>164</v>
      </c>
      <c r="G122" s="177" t="s">
        <v>164</v>
      </c>
      <c r="H122" s="177" t="s">
        <v>164</v>
      </c>
      <c r="I122" s="177" t="s">
        <v>164</v>
      </c>
      <c r="J122" s="177" t="s">
        <v>164</v>
      </c>
      <c r="K122" s="177" t="s">
        <v>164</v>
      </c>
      <c r="L122" s="82"/>
    </row>
    <row r="123" spans="1:12" s="52" customFormat="1" x14ac:dyDescent="0.65">
      <c r="A123" s="137" t="s">
        <v>124</v>
      </c>
      <c r="B123" s="177" t="s">
        <v>164</v>
      </c>
      <c r="C123" s="177" t="s">
        <v>164</v>
      </c>
      <c r="D123" s="177" t="s">
        <v>164</v>
      </c>
      <c r="E123" s="177" t="s">
        <v>164</v>
      </c>
      <c r="F123" s="177" t="s">
        <v>164</v>
      </c>
      <c r="G123" s="177" t="s">
        <v>164</v>
      </c>
      <c r="H123" s="177" t="s">
        <v>164</v>
      </c>
      <c r="I123" s="177" t="s">
        <v>164</v>
      </c>
      <c r="J123" s="177" t="s">
        <v>164</v>
      </c>
      <c r="K123" s="177" t="s">
        <v>164</v>
      </c>
      <c r="L123" s="82"/>
    </row>
    <row r="124" spans="1:12" s="52" customFormat="1" x14ac:dyDescent="0.65">
      <c r="A124" s="137" t="s">
        <v>125</v>
      </c>
      <c r="B124" s="177" t="s">
        <v>164</v>
      </c>
      <c r="C124" s="177" t="s">
        <v>164</v>
      </c>
      <c r="D124" s="177" t="s">
        <v>164</v>
      </c>
      <c r="E124" s="177" t="s">
        <v>164</v>
      </c>
      <c r="F124" s="177" t="s">
        <v>164</v>
      </c>
      <c r="G124" s="177" t="s">
        <v>164</v>
      </c>
      <c r="H124" s="177" t="s">
        <v>164</v>
      </c>
      <c r="I124" s="177" t="s">
        <v>164</v>
      </c>
      <c r="J124" s="177" t="s">
        <v>164</v>
      </c>
      <c r="K124" s="177" t="s">
        <v>164</v>
      </c>
      <c r="L124" s="177"/>
    </row>
    <row r="125" spans="1:12" s="52" customFormat="1" x14ac:dyDescent="0.65">
      <c r="A125" s="118" t="s">
        <v>126</v>
      </c>
      <c r="B125" s="177" t="s">
        <v>164</v>
      </c>
      <c r="C125" s="177" t="s">
        <v>164</v>
      </c>
      <c r="D125" s="177" t="s">
        <v>164</v>
      </c>
      <c r="E125" s="177" t="s">
        <v>164</v>
      </c>
      <c r="F125" s="177" t="s">
        <v>164</v>
      </c>
      <c r="G125" s="177" t="s">
        <v>164</v>
      </c>
      <c r="H125" s="177" t="s">
        <v>164</v>
      </c>
      <c r="I125" s="177" t="s">
        <v>164</v>
      </c>
      <c r="J125" s="177" t="s">
        <v>164</v>
      </c>
      <c r="K125" s="177" t="s">
        <v>164</v>
      </c>
      <c r="L125" s="177"/>
    </row>
    <row r="126" spans="1:12" s="52" customFormat="1" x14ac:dyDescent="0.65">
      <c r="A126" s="137" t="s">
        <v>127</v>
      </c>
      <c r="B126" s="177" t="s">
        <v>164</v>
      </c>
      <c r="C126" s="177" t="s">
        <v>164</v>
      </c>
      <c r="D126" s="177" t="s">
        <v>164</v>
      </c>
      <c r="E126" s="177" t="s">
        <v>164</v>
      </c>
      <c r="F126" s="177" t="s">
        <v>164</v>
      </c>
      <c r="G126" s="177" t="s">
        <v>164</v>
      </c>
      <c r="H126" s="177" t="s">
        <v>164</v>
      </c>
      <c r="I126" s="177" t="s">
        <v>164</v>
      </c>
      <c r="J126" s="177" t="s">
        <v>164</v>
      </c>
      <c r="K126" s="177" t="s">
        <v>164</v>
      </c>
      <c r="L126" s="177"/>
    </row>
    <row r="127" spans="1:12" s="52" customFormat="1" ht="90" customHeight="1" x14ac:dyDescent="0.65">
      <c r="A127" s="137" t="s">
        <v>128</v>
      </c>
      <c r="B127" s="177" t="s">
        <v>164</v>
      </c>
      <c r="C127" s="177" t="s">
        <v>164</v>
      </c>
      <c r="D127" s="177" t="s">
        <v>164</v>
      </c>
      <c r="E127" s="131" t="s">
        <v>177</v>
      </c>
      <c r="F127" s="177" t="s">
        <v>164</v>
      </c>
      <c r="G127" s="177" t="s">
        <v>164</v>
      </c>
      <c r="H127" s="177" t="s">
        <v>164</v>
      </c>
      <c r="I127" s="177" t="s">
        <v>164</v>
      </c>
      <c r="J127" s="177" t="s">
        <v>164</v>
      </c>
      <c r="K127" s="177" t="s">
        <v>164</v>
      </c>
      <c r="L127" s="177" t="s">
        <v>208</v>
      </c>
    </row>
    <row r="128" spans="1:12" s="50" customFormat="1" ht="14.5" x14ac:dyDescent="0.65">
      <c r="A128" s="152" t="s">
        <v>129</v>
      </c>
      <c r="B128" s="153"/>
      <c r="C128" s="153"/>
      <c r="D128" s="153"/>
      <c r="E128" s="150"/>
      <c r="F128" s="150"/>
      <c r="G128" s="150"/>
      <c r="H128" s="150"/>
      <c r="I128" s="150"/>
      <c r="J128" s="150"/>
      <c r="K128" s="150"/>
      <c r="L128" s="150"/>
    </row>
    <row r="129" spans="1:12" s="46" customFormat="1" ht="28.5" x14ac:dyDescent="0.65">
      <c r="A129" s="137" t="s">
        <v>130</v>
      </c>
      <c r="B129" s="177" t="s">
        <v>164</v>
      </c>
      <c r="C129" s="177" t="s">
        <v>164</v>
      </c>
      <c r="D129" s="177" t="s">
        <v>164</v>
      </c>
      <c r="E129" s="177" t="s">
        <v>164</v>
      </c>
      <c r="F129" s="177" t="s">
        <v>164</v>
      </c>
      <c r="G129" s="131" t="s">
        <v>177</v>
      </c>
      <c r="H129" s="177" t="s">
        <v>164</v>
      </c>
      <c r="I129" s="177" t="s">
        <v>164</v>
      </c>
      <c r="J129" s="177" t="s">
        <v>164</v>
      </c>
      <c r="K129" s="177" t="s">
        <v>164</v>
      </c>
      <c r="L129" s="177" t="s">
        <v>209</v>
      </c>
    </row>
    <row r="130" spans="1:12" s="52" customFormat="1" x14ac:dyDescent="0.65">
      <c r="A130" s="137" t="s">
        <v>131</v>
      </c>
      <c r="B130" s="177" t="s">
        <v>164</v>
      </c>
      <c r="C130" s="177" t="s">
        <v>164</v>
      </c>
      <c r="D130" s="177" t="s">
        <v>164</v>
      </c>
      <c r="E130" s="177" t="s">
        <v>164</v>
      </c>
      <c r="F130" s="177" t="s">
        <v>164</v>
      </c>
      <c r="G130" s="177" t="s">
        <v>164</v>
      </c>
      <c r="H130" s="177" t="s">
        <v>164</v>
      </c>
      <c r="I130" s="177" t="s">
        <v>164</v>
      </c>
      <c r="J130" s="177" t="s">
        <v>164</v>
      </c>
      <c r="K130" s="177" t="s">
        <v>164</v>
      </c>
      <c r="L130" s="177"/>
    </row>
    <row r="131" spans="1:12" s="52" customFormat="1" x14ac:dyDescent="0.65">
      <c r="A131" s="137" t="s">
        <v>132</v>
      </c>
      <c r="B131" s="177" t="s">
        <v>164</v>
      </c>
      <c r="C131" s="177" t="s">
        <v>164</v>
      </c>
      <c r="D131" s="177" t="s">
        <v>164</v>
      </c>
      <c r="E131" s="177" t="s">
        <v>164</v>
      </c>
      <c r="F131" s="177" t="s">
        <v>164</v>
      </c>
      <c r="G131" s="177" t="s">
        <v>164</v>
      </c>
      <c r="H131" s="177" t="s">
        <v>164</v>
      </c>
      <c r="I131" s="177" t="s">
        <v>164</v>
      </c>
      <c r="J131" s="177" t="s">
        <v>164</v>
      </c>
      <c r="K131" s="177" t="s">
        <v>164</v>
      </c>
      <c r="L131" s="177"/>
    </row>
    <row r="132" spans="1:12" s="51" customFormat="1" ht="35.9" customHeight="1" x14ac:dyDescent="0.75">
      <c r="A132" s="137" t="s">
        <v>133</v>
      </c>
      <c r="B132" s="177" t="s">
        <v>164</v>
      </c>
      <c r="C132" s="177" t="s">
        <v>164</v>
      </c>
      <c r="D132" s="177" t="s">
        <v>164</v>
      </c>
      <c r="E132" s="177" t="s">
        <v>164</v>
      </c>
      <c r="F132" s="177" t="s">
        <v>164</v>
      </c>
      <c r="G132" s="131" t="s">
        <v>177</v>
      </c>
      <c r="H132" s="177" t="s">
        <v>164</v>
      </c>
      <c r="I132" s="177" t="s">
        <v>164</v>
      </c>
      <c r="J132" s="177" t="s">
        <v>164</v>
      </c>
      <c r="K132" s="177" t="s">
        <v>164</v>
      </c>
      <c r="L132" s="177" t="s">
        <v>210</v>
      </c>
    </row>
    <row r="133" spans="1:12" s="51" customFormat="1" x14ac:dyDescent="0.75">
      <c r="A133" s="137" t="s">
        <v>134</v>
      </c>
      <c r="B133" s="177" t="s">
        <v>164</v>
      </c>
      <c r="C133" s="177" t="s">
        <v>164</v>
      </c>
      <c r="D133" s="177" t="s">
        <v>164</v>
      </c>
      <c r="E133" s="177" t="s">
        <v>164</v>
      </c>
      <c r="F133" s="177" t="s">
        <v>164</v>
      </c>
      <c r="G133" s="177" t="s">
        <v>164</v>
      </c>
      <c r="H133" s="177" t="s">
        <v>164</v>
      </c>
      <c r="I133" s="177" t="s">
        <v>164</v>
      </c>
      <c r="J133" s="177" t="s">
        <v>164</v>
      </c>
      <c r="K133" s="177" t="s">
        <v>164</v>
      </c>
      <c r="L133" s="177"/>
    </row>
    <row r="134" spans="1:12" s="50" customFormat="1" ht="14.5" x14ac:dyDescent="0.65">
      <c r="A134" s="152" t="s">
        <v>135</v>
      </c>
      <c r="B134" s="153"/>
      <c r="C134" s="153"/>
      <c r="D134" s="153"/>
      <c r="E134" s="150"/>
      <c r="F134" s="150"/>
      <c r="G134" s="150"/>
      <c r="H134" s="150"/>
      <c r="I134" s="150"/>
      <c r="J134" s="150"/>
      <c r="K134" s="150"/>
      <c r="L134" s="150"/>
    </row>
    <row r="135" spans="1:12" s="46" customFormat="1" ht="28.5" x14ac:dyDescent="0.65">
      <c r="A135" s="137" t="s">
        <v>136</v>
      </c>
      <c r="B135" s="177" t="s">
        <v>164</v>
      </c>
      <c r="C135" s="177" t="s">
        <v>164</v>
      </c>
      <c r="D135" s="177" t="s">
        <v>164</v>
      </c>
      <c r="E135" s="177" t="s">
        <v>164</v>
      </c>
      <c r="F135" s="177" t="s">
        <v>164</v>
      </c>
      <c r="G135" s="131" t="s">
        <v>177</v>
      </c>
      <c r="H135" s="177" t="s">
        <v>164</v>
      </c>
      <c r="I135" s="177" t="s">
        <v>164</v>
      </c>
      <c r="J135" s="177" t="s">
        <v>164</v>
      </c>
      <c r="K135" s="177" t="s">
        <v>164</v>
      </c>
      <c r="L135" s="177" t="s">
        <v>211</v>
      </c>
    </row>
    <row r="136" spans="1:12" s="52" customFormat="1" x14ac:dyDescent="0.65">
      <c r="A136" s="137" t="s">
        <v>137</v>
      </c>
      <c r="B136" s="177" t="s">
        <v>164</v>
      </c>
      <c r="C136" s="177" t="s">
        <v>164</v>
      </c>
      <c r="D136" s="177" t="s">
        <v>164</v>
      </c>
      <c r="E136" s="177" t="s">
        <v>164</v>
      </c>
      <c r="F136" s="177" t="s">
        <v>164</v>
      </c>
      <c r="G136" s="177" t="s">
        <v>164</v>
      </c>
      <c r="H136" s="177" t="s">
        <v>164</v>
      </c>
      <c r="I136" s="177" t="s">
        <v>164</v>
      </c>
      <c r="J136" s="177" t="s">
        <v>164</v>
      </c>
      <c r="K136" s="177" t="s">
        <v>164</v>
      </c>
      <c r="L136" s="177"/>
    </row>
    <row r="137" spans="1:12" s="52" customFormat="1" x14ac:dyDescent="0.65">
      <c r="A137" s="137" t="s">
        <v>138</v>
      </c>
      <c r="B137" s="177" t="s">
        <v>164</v>
      </c>
      <c r="C137" s="177" t="s">
        <v>164</v>
      </c>
      <c r="D137" s="177" t="s">
        <v>164</v>
      </c>
      <c r="E137" s="177" t="s">
        <v>164</v>
      </c>
      <c r="F137" s="177" t="s">
        <v>164</v>
      </c>
      <c r="G137" s="177" t="s">
        <v>164</v>
      </c>
      <c r="H137" s="177" t="s">
        <v>164</v>
      </c>
      <c r="I137" s="177" t="s">
        <v>164</v>
      </c>
      <c r="J137" s="177" t="s">
        <v>164</v>
      </c>
      <c r="K137" s="177" t="s">
        <v>164</v>
      </c>
      <c r="L137" s="177"/>
    </row>
    <row r="138" spans="1:12" s="52" customFormat="1" x14ac:dyDescent="0.65">
      <c r="A138" s="137" t="s">
        <v>139</v>
      </c>
      <c r="B138" s="177" t="s">
        <v>164</v>
      </c>
      <c r="C138" s="177" t="s">
        <v>164</v>
      </c>
      <c r="D138" s="177" t="s">
        <v>164</v>
      </c>
      <c r="E138" s="177" t="s">
        <v>164</v>
      </c>
      <c r="F138" s="177" t="s">
        <v>164</v>
      </c>
      <c r="G138" s="177" t="s">
        <v>164</v>
      </c>
      <c r="H138" s="177" t="s">
        <v>164</v>
      </c>
      <c r="I138" s="177" t="s">
        <v>164</v>
      </c>
      <c r="J138" s="177" t="s">
        <v>164</v>
      </c>
      <c r="K138" s="177" t="s">
        <v>164</v>
      </c>
      <c r="L138" s="177"/>
    </row>
    <row r="139" spans="1:12" s="50" customFormat="1" ht="14.5" x14ac:dyDescent="0.65">
      <c r="A139" s="152" t="s">
        <v>140</v>
      </c>
      <c r="B139" s="153"/>
      <c r="C139" s="153"/>
      <c r="D139" s="153"/>
      <c r="E139" s="150"/>
      <c r="F139" s="150"/>
      <c r="G139" s="150"/>
      <c r="H139" s="150"/>
      <c r="I139" s="150"/>
      <c r="J139" s="150"/>
      <c r="K139" s="150"/>
      <c r="L139" s="150"/>
    </row>
    <row r="140" spans="1:12" s="52" customFormat="1" ht="28.5" x14ac:dyDescent="0.65">
      <c r="A140" s="137" t="s">
        <v>141</v>
      </c>
      <c r="B140" s="177" t="s">
        <v>164</v>
      </c>
      <c r="C140" s="177" t="s">
        <v>164</v>
      </c>
      <c r="D140" s="177" t="s">
        <v>164</v>
      </c>
      <c r="E140" s="177" t="s">
        <v>164</v>
      </c>
      <c r="F140" s="177" t="s">
        <v>164</v>
      </c>
      <c r="G140" s="177" t="s">
        <v>164</v>
      </c>
      <c r="H140" s="177" t="s">
        <v>164</v>
      </c>
      <c r="I140" s="177" t="s">
        <v>164</v>
      </c>
      <c r="J140" s="177" t="s">
        <v>164</v>
      </c>
      <c r="K140" s="177" t="s">
        <v>164</v>
      </c>
      <c r="L140" s="177"/>
    </row>
    <row r="141" spans="1:12" s="50" customFormat="1" ht="14.5" x14ac:dyDescent="0.65">
      <c r="A141" s="152" t="s">
        <v>142</v>
      </c>
      <c r="B141" s="153"/>
      <c r="C141" s="153"/>
      <c r="D141" s="153"/>
      <c r="E141" s="150"/>
      <c r="F141" s="150"/>
      <c r="G141" s="150"/>
      <c r="H141" s="150"/>
      <c r="I141" s="150"/>
      <c r="J141" s="150"/>
      <c r="K141" s="150"/>
      <c r="L141" s="150"/>
    </row>
    <row r="142" spans="1:12" s="52" customFormat="1" x14ac:dyDescent="0.65">
      <c r="A142" s="118" t="s">
        <v>143</v>
      </c>
      <c r="B142" s="177" t="s">
        <v>164</v>
      </c>
      <c r="C142" s="177" t="s">
        <v>164</v>
      </c>
      <c r="D142" s="177" t="s">
        <v>164</v>
      </c>
      <c r="E142" s="177" t="s">
        <v>164</v>
      </c>
      <c r="F142" s="177" t="s">
        <v>164</v>
      </c>
      <c r="G142" s="177" t="s">
        <v>164</v>
      </c>
      <c r="H142" s="177" t="s">
        <v>164</v>
      </c>
      <c r="I142" s="177" t="s">
        <v>164</v>
      </c>
      <c r="J142" s="177" t="s">
        <v>164</v>
      </c>
      <c r="K142" s="177" t="s">
        <v>164</v>
      </c>
      <c r="L142" s="177"/>
    </row>
    <row r="143" spans="1:12" s="52" customFormat="1" ht="57" x14ac:dyDescent="0.65">
      <c r="A143" s="118" t="s">
        <v>144</v>
      </c>
      <c r="B143" s="177" t="s">
        <v>164</v>
      </c>
      <c r="C143" s="177" t="s">
        <v>164</v>
      </c>
      <c r="D143" s="177" t="s">
        <v>164</v>
      </c>
      <c r="E143" s="130" t="s">
        <v>151</v>
      </c>
      <c r="F143" s="177" t="s">
        <v>164</v>
      </c>
      <c r="G143" s="177" t="s">
        <v>164</v>
      </c>
      <c r="H143" s="130" t="s">
        <v>151</v>
      </c>
      <c r="I143" s="130" t="s">
        <v>151</v>
      </c>
      <c r="J143" s="177" t="s">
        <v>164</v>
      </c>
      <c r="K143" s="130" t="s">
        <v>151</v>
      </c>
      <c r="L143" s="177" t="s">
        <v>212</v>
      </c>
    </row>
    <row r="144" spans="1:12" s="46" customFormat="1" x14ac:dyDescent="0.65">
      <c r="A144" s="137" t="s">
        <v>145</v>
      </c>
      <c r="B144" s="177" t="s">
        <v>164</v>
      </c>
      <c r="C144" s="177" t="s">
        <v>164</v>
      </c>
      <c r="D144" s="177" t="s">
        <v>164</v>
      </c>
      <c r="E144" s="177" t="s">
        <v>164</v>
      </c>
      <c r="F144" s="177" t="s">
        <v>164</v>
      </c>
      <c r="G144" s="177" t="s">
        <v>164</v>
      </c>
      <c r="H144" s="130" t="s">
        <v>151</v>
      </c>
      <c r="I144" s="130" t="s">
        <v>151</v>
      </c>
      <c r="J144" s="177" t="s">
        <v>164</v>
      </c>
      <c r="K144" s="130" t="s">
        <v>151</v>
      </c>
      <c r="L144" s="177"/>
    </row>
    <row r="145" spans="1:12" s="46" customFormat="1" ht="57" x14ac:dyDescent="0.65">
      <c r="A145" s="137" t="s">
        <v>146</v>
      </c>
      <c r="B145" s="177" t="s">
        <v>164</v>
      </c>
      <c r="C145" s="177" t="s">
        <v>164</v>
      </c>
      <c r="D145" s="177" t="s">
        <v>164</v>
      </c>
      <c r="E145" s="130" t="s">
        <v>151</v>
      </c>
      <c r="F145" s="177" t="s">
        <v>164</v>
      </c>
      <c r="G145" s="177" t="s">
        <v>164</v>
      </c>
      <c r="H145" s="130" t="s">
        <v>151</v>
      </c>
      <c r="I145" s="130" t="s">
        <v>151</v>
      </c>
      <c r="J145" s="177" t="s">
        <v>164</v>
      </c>
      <c r="K145" s="130" t="s">
        <v>151</v>
      </c>
      <c r="L145" s="177" t="s">
        <v>213</v>
      </c>
    </row>
    <row r="146" spans="1:12" x14ac:dyDescent="0.65">
      <c r="A146" s="43"/>
      <c r="B146" s="43"/>
      <c r="C146" s="43"/>
      <c r="D146" s="43"/>
      <c r="E146" s="155"/>
      <c r="F146" s="155"/>
      <c r="G146" s="155"/>
      <c r="H146" s="155"/>
      <c r="I146" s="155"/>
      <c r="J146" s="155"/>
      <c r="K146" s="155"/>
      <c r="L146" s="155"/>
    </row>
    <row r="147" spans="1:12" x14ac:dyDescent="0.65">
      <c r="A147" s="44"/>
      <c r="B147" s="43"/>
      <c r="C147" s="43"/>
      <c r="D147" s="43"/>
      <c r="E147" s="155"/>
      <c r="F147" s="155"/>
      <c r="G147" s="155"/>
      <c r="H147" s="155"/>
      <c r="I147" s="155"/>
      <c r="J147" s="155"/>
      <c r="K147" s="155"/>
      <c r="L147" s="155"/>
    </row>
    <row r="148" spans="1:12" x14ac:dyDescent="0.65">
      <c r="A148" s="44"/>
      <c r="B148" s="43"/>
      <c r="C148" s="43"/>
      <c r="D148" s="43"/>
      <c r="E148" s="155"/>
      <c r="F148" s="155"/>
      <c r="G148" s="155"/>
      <c r="H148" s="155"/>
      <c r="I148" s="155"/>
      <c r="J148" s="155"/>
      <c r="K148" s="155"/>
      <c r="L148" s="155"/>
    </row>
    <row r="149" spans="1:12" x14ac:dyDescent="0.65">
      <c r="A149" s="44"/>
      <c r="B149" s="43"/>
      <c r="C149" s="43"/>
      <c r="D149" s="43"/>
      <c r="E149" s="155"/>
      <c r="F149" s="155"/>
      <c r="G149" s="155"/>
      <c r="H149" s="155"/>
      <c r="I149" s="155"/>
      <c r="J149" s="155"/>
      <c r="K149" s="155"/>
      <c r="L149" s="155"/>
    </row>
    <row r="150" spans="1:12" x14ac:dyDescent="0.65">
      <c r="A150" s="43"/>
      <c r="B150" s="43"/>
      <c r="C150" s="43"/>
      <c r="D150" s="43"/>
      <c r="E150" s="155"/>
      <c r="F150" s="155"/>
      <c r="G150" s="155"/>
      <c r="H150" s="155"/>
      <c r="I150" s="155"/>
      <c r="J150" s="155"/>
      <c r="K150" s="155"/>
      <c r="L150" s="155"/>
    </row>
    <row r="151" spans="1:12" x14ac:dyDescent="0.65">
      <c r="A151" s="43"/>
      <c r="B151" s="43"/>
      <c r="C151" s="43"/>
      <c r="D151" s="43"/>
      <c r="E151" s="155"/>
      <c r="F151" s="155"/>
      <c r="G151" s="155"/>
      <c r="H151" s="155"/>
      <c r="I151" s="155"/>
      <c r="J151" s="155"/>
      <c r="K151" s="155"/>
      <c r="L151" s="155"/>
    </row>
    <row r="152" spans="1:12" x14ac:dyDescent="0.65">
      <c r="A152" s="43"/>
      <c r="B152" s="43"/>
      <c r="C152" s="43"/>
      <c r="D152" s="43"/>
      <c r="E152" s="155"/>
      <c r="F152" s="155"/>
      <c r="G152" s="155"/>
      <c r="H152" s="155"/>
      <c r="I152" s="155"/>
      <c r="J152" s="155"/>
      <c r="K152" s="155"/>
      <c r="L152" s="155"/>
    </row>
    <row r="153" spans="1:12" x14ac:dyDescent="0.65">
      <c r="A153" s="43"/>
      <c r="B153" s="43"/>
      <c r="C153" s="43"/>
      <c r="D153" s="43"/>
      <c r="E153" s="155"/>
      <c r="F153" s="155"/>
      <c r="G153" s="155"/>
      <c r="H153" s="155"/>
      <c r="I153" s="155"/>
      <c r="J153" s="155"/>
      <c r="K153" s="155"/>
      <c r="L153" s="155"/>
    </row>
  </sheetData>
  <mergeCells count="91">
    <mergeCell ref="C12:L12"/>
    <mergeCell ref="C13:L13"/>
    <mergeCell ref="L67:L69"/>
    <mergeCell ref="B68:B69"/>
    <mergeCell ref="C68:C69"/>
    <mergeCell ref="D68:D69"/>
    <mergeCell ref="E68:E69"/>
    <mergeCell ref="F68:F69"/>
    <mergeCell ref="G68:G69"/>
    <mergeCell ref="H68:H69"/>
    <mergeCell ref="I68:I69"/>
    <mergeCell ref="J68:J69"/>
    <mergeCell ref="K68:K69"/>
    <mergeCell ref="B67:G67"/>
    <mergeCell ref="H67:I67"/>
    <mergeCell ref="J67:K67"/>
    <mergeCell ref="B6:L6"/>
    <mergeCell ref="B7:L7"/>
    <mergeCell ref="B8:L8"/>
    <mergeCell ref="C10:L10"/>
    <mergeCell ref="C11:L11"/>
    <mergeCell ref="C14:L14"/>
    <mergeCell ref="C15:L15"/>
    <mergeCell ref="C16:L16"/>
    <mergeCell ref="C17:L17"/>
    <mergeCell ref="C18:L18"/>
    <mergeCell ref="C19:L19"/>
    <mergeCell ref="C20:L20"/>
    <mergeCell ref="C21:L21"/>
    <mergeCell ref="C22:L22"/>
    <mergeCell ref="C23:L23"/>
    <mergeCell ref="C24:L24"/>
    <mergeCell ref="C25:L25"/>
    <mergeCell ref="C26:L26"/>
    <mergeCell ref="C27:L27"/>
    <mergeCell ref="C28:L28"/>
    <mergeCell ref="C29:L29"/>
    <mergeCell ref="C30:L30"/>
    <mergeCell ref="C31:L31"/>
    <mergeCell ref="C32:L32"/>
    <mergeCell ref="C33:L33"/>
    <mergeCell ref="C34:L34"/>
    <mergeCell ref="C35:L35"/>
    <mergeCell ref="C36:L36"/>
    <mergeCell ref="C37:L37"/>
    <mergeCell ref="C38:L38"/>
    <mergeCell ref="C39:L39"/>
    <mergeCell ref="C40:L40"/>
    <mergeCell ref="C41:L41"/>
    <mergeCell ref="C42:L42"/>
    <mergeCell ref="C43:L43"/>
    <mergeCell ref="C44:L44"/>
    <mergeCell ref="C45:L45"/>
    <mergeCell ref="C46:L46"/>
    <mergeCell ref="C47:L47"/>
    <mergeCell ref="C48:L48"/>
    <mergeCell ref="C49:L49"/>
    <mergeCell ref="C50:L50"/>
    <mergeCell ref="C51:L51"/>
    <mergeCell ref="C52:L52"/>
    <mergeCell ref="C53:L53"/>
    <mergeCell ref="C54:L54"/>
    <mergeCell ref="C55:L55"/>
    <mergeCell ref="C56:L56"/>
    <mergeCell ref="C57:L57"/>
    <mergeCell ref="C58:L58"/>
    <mergeCell ref="C64:L64"/>
    <mergeCell ref="D66:L66"/>
    <mergeCell ref="C59:L59"/>
    <mergeCell ref="C60:L60"/>
    <mergeCell ref="C61:L61"/>
    <mergeCell ref="C62:L62"/>
    <mergeCell ref="C63:L63"/>
    <mergeCell ref="C65:L65"/>
    <mergeCell ref="B1:L1"/>
    <mergeCell ref="B2:L2"/>
    <mergeCell ref="B3:C3"/>
    <mergeCell ref="D3:E3"/>
    <mergeCell ref="F3:G3"/>
    <mergeCell ref="H3:I3"/>
    <mergeCell ref="J3:K3"/>
    <mergeCell ref="B4:C4"/>
    <mergeCell ref="D4:E4"/>
    <mergeCell ref="F4:G4"/>
    <mergeCell ref="H4:I4"/>
    <mergeCell ref="J4:K4"/>
    <mergeCell ref="B5:C5"/>
    <mergeCell ref="D5:E5"/>
    <mergeCell ref="F5:G5"/>
    <mergeCell ref="H5:I5"/>
    <mergeCell ref="J5:K5"/>
  </mergeCells>
  <pageMargins left="0.7" right="0.7" top="0.75" bottom="0.75" header="0.3" footer="0.3"/>
  <pageSetup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AB70B-729F-4B05-8AC0-BB9F93C1F3F1}">
  <sheetPr>
    <tabColor theme="3"/>
    <pageSetUpPr fitToPage="1"/>
  </sheetPr>
  <dimension ref="A1:E56"/>
  <sheetViews>
    <sheetView zoomScale="80" zoomScaleNormal="80" workbookViewId="0">
      <pane ySplit="2" topLeftCell="A3" activePane="bottomLeft" state="frozen"/>
      <selection activeCell="A6" sqref="A6"/>
      <selection pane="bottomLeft" sqref="A1:D1"/>
    </sheetView>
  </sheetViews>
  <sheetFormatPr defaultColWidth="9.1328125" defaultRowHeight="14.75" x14ac:dyDescent="0.75"/>
  <cols>
    <col min="1" max="1" width="18.1328125" style="99" bestFit="1" customWidth="1"/>
    <col min="2" max="2" width="43.86328125" style="95" bestFit="1" customWidth="1"/>
    <col min="3" max="3" width="24.54296875" style="100" customWidth="1"/>
    <col min="4" max="4" width="37.7265625" style="100" customWidth="1"/>
    <col min="5" max="5" width="73.54296875" style="100" customWidth="1"/>
    <col min="6" max="16384" width="9.1328125" style="95"/>
  </cols>
  <sheetData>
    <row r="1" spans="1:5" ht="47.45" customHeight="1" x14ac:dyDescent="0.7">
      <c r="A1" s="217" t="s">
        <v>214</v>
      </c>
      <c r="B1" s="218"/>
      <c r="C1" s="218"/>
      <c r="D1" s="219"/>
    </row>
    <row r="2" spans="1:5" x14ac:dyDescent="0.75">
      <c r="A2" s="92" t="s">
        <v>215</v>
      </c>
      <c r="B2" s="92" t="s">
        <v>34</v>
      </c>
      <c r="C2" s="93" t="s">
        <v>216</v>
      </c>
      <c r="D2" s="94" t="s">
        <v>217</v>
      </c>
      <c r="E2" s="94" t="s">
        <v>218</v>
      </c>
    </row>
    <row r="3" spans="1:5" ht="171" x14ac:dyDescent="0.75">
      <c r="A3" s="97" t="s">
        <v>219</v>
      </c>
      <c r="B3" s="65" t="s">
        <v>220</v>
      </c>
      <c r="C3" s="96" t="s">
        <v>221</v>
      </c>
      <c r="D3" s="65" t="s">
        <v>222</v>
      </c>
      <c r="E3" s="65" t="s">
        <v>223</v>
      </c>
    </row>
    <row r="4" spans="1:5" ht="85.5" x14ac:dyDescent="0.75">
      <c r="A4" s="97" t="s">
        <v>219</v>
      </c>
      <c r="B4" s="65" t="s">
        <v>220</v>
      </c>
      <c r="C4" s="96" t="s">
        <v>224</v>
      </c>
      <c r="D4" s="65" t="s">
        <v>225</v>
      </c>
      <c r="E4" s="65" t="s">
        <v>226</v>
      </c>
    </row>
    <row r="5" spans="1:5" ht="114" x14ac:dyDescent="0.75">
      <c r="A5" s="97" t="s">
        <v>219</v>
      </c>
      <c r="B5" s="65" t="s">
        <v>220</v>
      </c>
      <c r="C5" s="96" t="s">
        <v>227</v>
      </c>
      <c r="D5" s="65" t="s">
        <v>228</v>
      </c>
      <c r="E5" s="65" t="s">
        <v>229</v>
      </c>
    </row>
    <row r="6" spans="1:5" ht="42.75" x14ac:dyDescent="0.75">
      <c r="A6" s="97" t="s">
        <v>230</v>
      </c>
      <c r="B6" s="65" t="s">
        <v>231</v>
      </c>
      <c r="C6" s="96" t="s">
        <v>232</v>
      </c>
      <c r="D6" s="65" t="s">
        <v>233</v>
      </c>
      <c r="E6" s="65" t="s">
        <v>234</v>
      </c>
    </row>
    <row r="7" spans="1:5" ht="28.5" x14ac:dyDescent="0.75">
      <c r="A7" s="97" t="s">
        <v>230</v>
      </c>
      <c r="B7" s="65" t="s">
        <v>231</v>
      </c>
      <c r="C7" s="96" t="s">
        <v>235</v>
      </c>
      <c r="D7" s="65" t="s">
        <v>236</v>
      </c>
      <c r="E7" s="65" t="s">
        <v>237</v>
      </c>
    </row>
    <row r="8" spans="1:5" ht="28.5" x14ac:dyDescent="0.75">
      <c r="A8" s="97" t="s">
        <v>230</v>
      </c>
      <c r="B8" s="65" t="s">
        <v>231</v>
      </c>
      <c r="C8" s="96" t="s">
        <v>238</v>
      </c>
      <c r="D8" s="65" t="s">
        <v>239</v>
      </c>
      <c r="E8" s="65" t="s">
        <v>240</v>
      </c>
    </row>
    <row r="9" spans="1:5" ht="28.5" x14ac:dyDescent="0.75">
      <c r="A9" s="97" t="s">
        <v>230</v>
      </c>
      <c r="B9" s="65" t="s">
        <v>231</v>
      </c>
      <c r="C9" s="96" t="s">
        <v>241</v>
      </c>
      <c r="D9" s="65" t="s">
        <v>242</v>
      </c>
      <c r="E9" s="65" t="s">
        <v>243</v>
      </c>
    </row>
    <row r="10" spans="1:5" ht="42.75" x14ac:dyDescent="0.75">
      <c r="A10" s="97" t="s">
        <v>230</v>
      </c>
      <c r="B10" s="65" t="s">
        <v>231</v>
      </c>
      <c r="C10" s="96" t="s">
        <v>244</v>
      </c>
      <c r="D10" s="65" t="s">
        <v>245</v>
      </c>
      <c r="E10" s="65" t="s">
        <v>246</v>
      </c>
    </row>
    <row r="11" spans="1:5" ht="28.5" x14ac:dyDescent="0.75">
      <c r="A11" s="97" t="s">
        <v>230</v>
      </c>
      <c r="B11" s="65" t="s">
        <v>231</v>
      </c>
      <c r="C11" s="96" t="s">
        <v>247</v>
      </c>
      <c r="D11" s="65" t="s">
        <v>248</v>
      </c>
      <c r="E11" s="65" t="s">
        <v>249</v>
      </c>
    </row>
    <row r="12" spans="1:5" ht="42.75" x14ac:dyDescent="0.75">
      <c r="A12" s="97" t="s">
        <v>250</v>
      </c>
      <c r="B12" s="65" t="s">
        <v>251</v>
      </c>
      <c r="C12" s="96" t="s">
        <v>252</v>
      </c>
      <c r="D12" s="65" t="s">
        <v>253</v>
      </c>
      <c r="E12" s="65" t="s">
        <v>254</v>
      </c>
    </row>
    <row r="13" spans="1:5" ht="85.5" x14ac:dyDescent="0.75">
      <c r="A13" s="97" t="s">
        <v>250</v>
      </c>
      <c r="B13" s="65" t="s">
        <v>251</v>
      </c>
      <c r="C13" s="96" t="s">
        <v>255</v>
      </c>
      <c r="D13" s="65" t="s">
        <v>256</v>
      </c>
      <c r="E13" s="65" t="s">
        <v>257</v>
      </c>
    </row>
    <row r="14" spans="1:5" ht="71.25" x14ac:dyDescent="0.75">
      <c r="A14" s="97" t="s">
        <v>250</v>
      </c>
      <c r="B14" s="65" t="s">
        <v>251</v>
      </c>
      <c r="C14" s="96" t="s">
        <v>258</v>
      </c>
      <c r="D14" s="65" t="s">
        <v>259</v>
      </c>
      <c r="E14" s="65" t="s">
        <v>260</v>
      </c>
    </row>
    <row r="15" spans="1:5" ht="42.75" x14ac:dyDescent="0.75">
      <c r="A15" s="97" t="s">
        <v>250</v>
      </c>
      <c r="B15" s="65" t="s">
        <v>251</v>
      </c>
      <c r="C15" s="96" t="s">
        <v>261</v>
      </c>
      <c r="D15" s="65" t="s">
        <v>262</v>
      </c>
      <c r="E15" s="65" t="s">
        <v>263</v>
      </c>
    </row>
    <row r="16" spans="1:5" ht="71.25" x14ac:dyDescent="0.75">
      <c r="A16" s="97" t="s">
        <v>250</v>
      </c>
      <c r="B16" s="65" t="s">
        <v>251</v>
      </c>
      <c r="C16" s="96" t="s">
        <v>264</v>
      </c>
      <c r="D16" s="65" t="s">
        <v>265</v>
      </c>
      <c r="E16" s="65" t="s">
        <v>266</v>
      </c>
    </row>
    <row r="17" spans="1:5" ht="71.25" x14ac:dyDescent="0.75">
      <c r="A17" s="97" t="s">
        <v>250</v>
      </c>
      <c r="B17" s="65" t="s">
        <v>251</v>
      </c>
      <c r="C17" s="96" t="s">
        <v>267</v>
      </c>
      <c r="D17" s="65" t="s">
        <v>268</v>
      </c>
      <c r="E17" s="65" t="s">
        <v>269</v>
      </c>
    </row>
    <row r="18" spans="1:5" ht="199.5" x14ac:dyDescent="0.75">
      <c r="A18" s="97" t="s">
        <v>250</v>
      </c>
      <c r="B18" s="65" t="s">
        <v>251</v>
      </c>
      <c r="C18" s="96" t="s">
        <v>270</v>
      </c>
      <c r="D18" s="65" t="s">
        <v>271</v>
      </c>
      <c r="E18" s="65" t="s">
        <v>272</v>
      </c>
    </row>
    <row r="19" spans="1:5" ht="99.75" x14ac:dyDescent="0.75">
      <c r="A19" s="97" t="s">
        <v>250</v>
      </c>
      <c r="B19" s="65" t="s">
        <v>251</v>
      </c>
      <c r="C19" s="96" t="s">
        <v>273</v>
      </c>
      <c r="D19" s="65" t="s">
        <v>274</v>
      </c>
      <c r="E19" s="65" t="s">
        <v>275</v>
      </c>
    </row>
    <row r="20" spans="1:5" ht="57" x14ac:dyDescent="0.75">
      <c r="A20" s="97" t="s">
        <v>250</v>
      </c>
      <c r="B20" s="65" t="s">
        <v>251</v>
      </c>
      <c r="C20" s="96" t="s">
        <v>276</v>
      </c>
      <c r="D20" s="65" t="s">
        <v>277</v>
      </c>
      <c r="E20" s="65" t="s">
        <v>278</v>
      </c>
    </row>
    <row r="21" spans="1:5" ht="85.5" x14ac:dyDescent="0.75">
      <c r="A21" s="97" t="s">
        <v>250</v>
      </c>
      <c r="B21" s="65" t="s">
        <v>251</v>
      </c>
      <c r="C21" s="96" t="s">
        <v>279</v>
      </c>
      <c r="D21" s="65" t="s">
        <v>280</v>
      </c>
      <c r="E21" s="65" t="s">
        <v>281</v>
      </c>
    </row>
    <row r="22" spans="1:5" ht="42.75" x14ac:dyDescent="0.75">
      <c r="A22" s="97" t="s">
        <v>250</v>
      </c>
      <c r="B22" s="65" t="s">
        <v>251</v>
      </c>
      <c r="C22" s="96" t="s">
        <v>282</v>
      </c>
      <c r="D22" s="65" t="s">
        <v>283</v>
      </c>
      <c r="E22" s="65" t="s">
        <v>284</v>
      </c>
    </row>
    <row r="23" spans="1:5" ht="28.5" x14ac:dyDescent="0.75">
      <c r="A23" s="97" t="s">
        <v>250</v>
      </c>
      <c r="B23" s="65" t="s">
        <v>251</v>
      </c>
      <c r="C23" s="96" t="s">
        <v>285</v>
      </c>
      <c r="D23" s="65" t="s">
        <v>286</v>
      </c>
      <c r="E23" s="65" t="s">
        <v>287</v>
      </c>
    </row>
    <row r="24" spans="1:5" ht="99.75" x14ac:dyDescent="0.75">
      <c r="A24" s="97" t="s">
        <v>250</v>
      </c>
      <c r="B24" s="65" t="s">
        <v>251</v>
      </c>
      <c r="C24" s="96" t="s">
        <v>288</v>
      </c>
      <c r="D24" s="65" t="s">
        <v>289</v>
      </c>
      <c r="E24" s="65" t="s">
        <v>290</v>
      </c>
    </row>
    <row r="25" spans="1:5" ht="28.5" x14ac:dyDescent="0.75">
      <c r="A25" s="97" t="s">
        <v>291</v>
      </c>
      <c r="B25" s="65" t="s">
        <v>292</v>
      </c>
      <c r="C25" s="96" t="s">
        <v>293</v>
      </c>
      <c r="D25" s="65" t="s">
        <v>294</v>
      </c>
      <c r="E25" s="65" t="s">
        <v>295</v>
      </c>
    </row>
    <row r="26" spans="1:5" ht="28.5" x14ac:dyDescent="0.75">
      <c r="A26" s="97" t="s">
        <v>291</v>
      </c>
      <c r="B26" s="65" t="s">
        <v>292</v>
      </c>
      <c r="C26" s="96" t="s">
        <v>296</v>
      </c>
      <c r="D26" s="65" t="s">
        <v>297</v>
      </c>
      <c r="E26" s="65" t="s">
        <v>298</v>
      </c>
    </row>
    <row r="27" spans="1:5" ht="71.25" x14ac:dyDescent="0.75">
      <c r="A27" s="97" t="s">
        <v>299</v>
      </c>
      <c r="B27" s="65" t="s">
        <v>300</v>
      </c>
      <c r="C27" s="96" t="s">
        <v>301</v>
      </c>
      <c r="D27" s="65" t="s">
        <v>302</v>
      </c>
      <c r="E27" s="65" t="s">
        <v>303</v>
      </c>
    </row>
    <row r="28" spans="1:5" ht="57" x14ac:dyDescent="0.75">
      <c r="A28" s="97" t="s">
        <v>299</v>
      </c>
      <c r="B28" s="65" t="s">
        <v>300</v>
      </c>
      <c r="C28" s="96" t="s">
        <v>304</v>
      </c>
      <c r="D28" s="65" t="s">
        <v>305</v>
      </c>
      <c r="E28" s="65" t="s">
        <v>306</v>
      </c>
    </row>
    <row r="29" spans="1:5" ht="99.75" x14ac:dyDescent="0.75">
      <c r="A29" s="97" t="s">
        <v>299</v>
      </c>
      <c r="B29" s="65" t="s">
        <v>300</v>
      </c>
      <c r="C29" s="96" t="s">
        <v>307</v>
      </c>
      <c r="D29" s="65" t="s">
        <v>308</v>
      </c>
      <c r="E29" s="65" t="s">
        <v>309</v>
      </c>
    </row>
    <row r="30" spans="1:5" ht="57" x14ac:dyDescent="0.75">
      <c r="A30" s="97" t="s">
        <v>299</v>
      </c>
      <c r="B30" s="65" t="s">
        <v>300</v>
      </c>
      <c r="C30" s="96" t="s">
        <v>310</v>
      </c>
      <c r="D30" s="65" t="s">
        <v>311</v>
      </c>
      <c r="E30" s="65" t="s">
        <v>312</v>
      </c>
    </row>
    <row r="31" spans="1:5" ht="42.75" x14ac:dyDescent="0.75">
      <c r="A31" s="97" t="s">
        <v>299</v>
      </c>
      <c r="B31" s="65" t="s">
        <v>300</v>
      </c>
      <c r="C31" s="96" t="s">
        <v>313</v>
      </c>
      <c r="D31" s="65" t="s">
        <v>314</v>
      </c>
      <c r="E31" s="65" t="s">
        <v>315</v>
      </c>
    </row>
    <row r="32" spans="1:5" ht="42.75" x14ac:dyDescent="0.75">
      <c r="A32" s="97" t="s">
        <v>299</v>
      </c>
      <c r="B32" s="65" t="s">
        <v>300</v>
      </c>
      <c r="C32" s="96" t="s">
        <v>316</v>
      </c>
      <c r="D32" s="65" t="s">
        <v>317</v>
      </c>
      <c r="E32" s="65" t="s">
        <v>318</v>
      </c>
    </row>
    <row r="33" spans="1:5" x14ac:dyDescent="0.75">
      <c r="A33" s="97" t="s">
        <v>319</v>
      </c>
      <c r="B33" s="65" t="s">
        <v>320</v>
      </c>
      <c r="C33" s="96" t="s">
        <v>321</v>
      </c>
      <c r="D33" s="65" t="s">
        <v>322</v>
      </c>
      <c r="E33" s="65" t="s">
        <v>323</v>
      </c>
    </row>
    <row r="34" spans="1:5" s="98" customFormat="1" ht="42.75" x14ac:dyDescent="0.75">
      <c r="A34" s="97" t="s">
        <v>319</v>
      </c>
      <c r="B34" s="65" t="s">
        <v>320</v>
      </c>
      <c r="C34" s="96" t="s">
        <v>324</v>
      </c>
      <c r="D34" s="65" t="s">
        <v>325</v>
      </c>
      <c r="E34" s="65" t="s">
        <v>326</v>
      </c>
    </row>
    <row r="35" spans="1:5" ht="142.5" x14ac:dyDescent="0.75">
      <c r="A35" s="97" t="s">
        <v>319</v>
      </c>
      <c r="B35" s="65" t="s">
        <v>320</v>
      </c>
      <c r="C35" s="96" t="s">
        <v>327</v>
      </c>
      <c r="D35" s="65" t="s">
        <v>328</v>
      </c>
      <c r="E35" s="65" t="s">
        <v>329</v>
      </c>
    </row>
    <row r="36" spans="1:5" ht="28.5" x14ac:dyDescent="0.75">
      <c r="A36" s="97" t="s">
        <v>319</v>
      </c>
      <c r="B36" s="65" t="s">
        <v>320</v>
      </c>
      <c r="C36" s="96" t="s">
        <v>330</v>
      </c>
      <c r="D36" s="65" t="s">
        <v>331</v>
      </c>
      <c r="E36" s="65" t="s">
        <v>332</v>
      </c>
    </row>
    <row r="37" spans="1:5" ht="42.75" x14ac:dyDescent="0.75">
      <c r="A37" s="97" t="s">
        <v>319</v>
      </c>
      <c r="B37" s="65" t="s">
        <v>320</v>
      </c>
      <c r="C37" s="96" t="s">
        <v>333</v>
      </c>
      <c r="D37" s="65" t="s">
        <v>334</v>
      </c>
      <c r="E37" s="65" t="s">
        <v>335</v>
      </c>
    </row>
    <row r="38" spans="1:5" ht="99.75" x14ac:dyDescent="0.75">
      <c r="A38" s="97" t="s">
        <v>319</v>
      </c>
      <c r="B38" s="65" t="s">
        <v>320</v>
      </c>
      <c r="C38" s="96" t="s">
        <v>336</v>
      </c>
      <c r="D38" s="65" t="s">
        <v>337</v>
      </c>
      <c r="E38" s="65" t="s">
        <v>338</v>
      </c>
    </row>
    <row r="39" spans="1:5" ht="156.75" x14ac:dyDescent="0.75">
      <c r="A39" s="97" t="s">
        <v>339</v>
      </c>
      <c r="B39" s="65" t="s">
        <v>340</v>
      </c>
      <c r="C39" s="96" t="s">
        <v>341</v>
      </c>
      <c r="D39" s="65" t="s">
        <v>342</v>
      </c>
      <c r="E39" s="65" t="s">
        <v>343</v>
      </c>
    </row>
    <row r="40" spans="1:5" ht="42.75" x14ac:dyDescent="0.75">
      <c r="A40" s="97" t="s">
        <v>339</v>
      </c>
      <c r="B40" s="65" t="s">
        <v>340</v>
      </c>
      <c r="C40" s="96" t="s">
        <v>344</v>
      </c>
      <c r="D40" s="65" t="s">
        <v>345</v>
      </c>
      <c r="E40" s="65" t="s">
        <v>346</v>
      </c>
    </row>
    <row r="41" spans="1:5" ht="71.25" x14ac:dyDescent="0.75">
      <c r="A41" s="97" t="s">
        <v>339</v>
      </c>
      <c r="B41" s="65" t="s">
        <v>340</v>
      </c>
      <c r="C41" s="96" t="s">
        <v>347</v>
      </c>
      <c r="D41" s="65" t="s">
        <v>348</v>
      </c>
      <c r="E41" s="65" t="s">
        <v>349</v>
      </c>
    </row>
    <row r="42" spans="1:5" ht="42.75" x14ac:dyDescent="0.75">
      <c r="A42" s="97" t="s">
        <v>350</v>
      </c>
      <c r="B42" s="65" t="s">
        <v>351</v>
      </c>
      <c r="C42" s="96" t="s">
        <v>352</v>
      </c>
      <c r="D42" s="65" t="s">
        <v>353</v>
      </c>
      <c r="E42" s="65" t="s">
        <v>354</v>
      </c>
    </row>
    <row r="43" spans="1:5" ht="42.75" x14ac:dyDescent="0.75">
      <c r="A43" s="97" t="s">
        <v>350</v>
      </c>
      <c r="B43" s="65" t="s">
        <v>351</v>
      </c>
      <c r="C43" s="96" t="s">
        <v>355</v>
      </c>
      <c r="D43" s="65" t="s">
        <v>356</v>
      </c>
      <c r="E43" s="65" t="s">
        <v>357</v>
      </c>
    </row>
    <row r="44" spans="1:5" ht="42.75" x14ac:dyDescent="0.75">
      <c r="A44" s="97" t="s">
        <v>350</v>
      </c>
      <c r="B44" s="65" t="s">
        <v>351</v>
      </c>
      <c r="C44" s="96" t="s">
        <v>358</v>
      </c>
      <c r="D44" s="65" t="s">
        <v>359</v>
      </c>
      <c r="E44" s="65" t="s">
        <v>360</v>
      </c>
    </row>
    <row r="45" spans="1:5" ht="57" x14ac:dyDescent="0.75">
      <c r="A45" s="97" t="s">
        <v>361</v>
      </c>
      <c r="B45" s="65" t="s">
        <v>362</v>
      </c>
      <c r="C45" s="96" t="s">
        <v>363</v>
      </c>
      <c r="D45" s="65" t="s">
        <v>364</v>
      </c>
      <c r="E45" s="65" t="s">
        <v>365</v>
      </c>
    </row>
    <row r="46" spans="1:5" ht="85.5" x14ac:dyDescent="0.75">
      <c r="A46" s="97" t="s">
        <v>361</v>
      </c>
      <c r="B46" s="65" t="s">
        <v>362</v>
      </c>
      <c r="C46" s="96" t="s">
        <v>366</v>
      </c>
      <c r="D46" s="65" t="s">
        <v>367</v>
      </c>
      <c r="E46" s="65" t="s">
        <v>368</v>
      </c>
    </row>
    <row r="47" spans="1:5" ht="57" x14ac:dyDescent="0.75">
      <c r="A47" s="97" t="s">
        <v>361</v>
      </c>
      <c r="B47" s="65" t="s">
        <v>362</v>
      </c>
      <c r="C47" s="96" t="s">
        <v>369</v>
      </c>
      <c r="D47" s="65" t="s">
        <v>370</v>
      </c>
      <c r="E47" s="65" t="s">
        <v>371</v>
      </c>
    </row>
    <row r="48" spans="1:5" ht="42.75" x14ac:dyDescent="0.75">
      <c r="A48" s="97" t="s">
        <v>361</v>
      </c>
      <c r="B48" s="65" t="s">
        <v>362</v>
      </c>
      <c r="C48" s="96" t="s">
        <v>372</v>
      </c>
      <c r="D48" s="65" t="s">
        <v>373</v>
      </c>
      <c r="E48" s="65" t="s">
        <v>374</v>
      </c>
    </row>
    <row r="49" spans="1:5" ht="57" x14ac:dyDescent="0.75">
      <c r="A49" s="97" t="s">
        <v>375</v>
      </c>
      <c r="B49" s="65" t="s">
        <v>376</v>
      </c>
      <c r="C49" s="96" t="s">
        <v>377</v>
      </c>
      <c r="D49" s="65" t="s">
        <v>378</v>
      </c>
      <c r="E49" s="65" t="s">
        <v>379</v>
      </c>
    </row>
    <row r="50" spans="1:5" ht="42.75" x14ac:dyDescent="0.75">
      <c r="A50" s="97" t="s">
        <v>375</v>
      </c>
      <c r="B50" s="65" t="s">
        <v>376</v>
      </c>
      <c r="C50" s="96" t="s">
        <v>380</v>
      </c>
      <c r="D50" s="65" t="s">
        <v>381</v>
      </c>
      <c r="E50" s="65" t="s">
        <v>382</v>
      </c>
    </row>
    <row r="51" spans="1:5" ht="71.25" x14ac:dyDescent="0.75">
      <c r="A51" s="97" t="s">
        <v>375</v>
      </c>
      <c r="B51" s="65" t="s">
        <v>376</v>
      </c>
      <c r="C51" s="96" t="s">
        <v>383</v>
      </c>
      <c r="D51" s="65" t="s">
        <v>384</v>
      </c>
      <c r="E51" s="65" t="s">
        <v>385</v>
      </c>
    </row>
    <row r="52" spans="1:5" ht="71.25" x14ac:dyDescent="0.75">
      <c r="A52" s="97" t="s">
        <v>386</v>
      </c>
      <c r="B52" s="65" t="s">
        <v>387</v>
      </c>
      <c r="C52" s="96" t="s">
        <v>388</v>
      </c>
      <c r="D52" s="65" t="s">
        <v>389</v>
      </c>
      <c r="E52" s="65" t="s">
        <v>390</v>
      </c>
    </row>
    <row r="53" spans="1:5" ht="128.25" x14ac:dyDescent="0.75">
      <c r="A53" s="97" t="s">
        <v>386</v>
      </c>
      <c r="B53" s="65" t="s">
        <v>387</v>
      </c>
      <c r="C53" s="96" t="s">
        <v>391</v>
      </c>
      <c r="D53" s="65" t="s">
        <v>392</v>
      </c>
      <c r="E53" s="65" t="s">
        <v>393</v>
      </c>
    </row>
    <row r="54" spans="1:5" s="98" customFormat="1" ht="28.5" x14ac:dyDescent="0.75">
      <c r="A54" s="97" t="s">
        <v>386</v>
      </c>
      <c r="B54" s="65" t="s">
        <v>387</v>
      </c>
      <c r="C54" s="96" t="s">
        <v>394</v>
      </c>
      <c r="D54" s="65" t="s">
        <v>395</v>
      </c>
      <c r="E54" s="65" t="s">
        <v>396</v>
      </c>
    </row>
    <row r="55" spans="1:5" s="98" customFormat="1" ht="57" x14ac:dyDescent="0.75">
      <c r="A55" s="97" t="s">
        <v>386</v>
      </c>
      <c r="B55" s="65" t="s">
        <v>387</v>
      </c>
      <c r="C55" s="96" t="s">
        <v>397</v>
      </c>
      <c r="D55" s="65" t="s">
        <v>398</v>
      </c>
      <c r="E55" s="65" t="s">
        <v>399</v>
      </c>
    </row>
    <row r="56" spans="1:5" s="98" customFormat="1" ht="71.25" x14ac:dyDescent="0.75">
      <c r="A56" s="97" t="s">
        <v>386</v>
      </c>
      <c r="B56" s="65" t="s">
        <v>387</v>
      </c>
      <c r="C56" s="96" t="s">
        <v>400</v>
      </c>
      <c r="D56" s="65" t="s">
        <v>401</v>
      </c>
      <c r="E56" s="65" t="s">
        <v>402</v>
      </c>
    </row>
  </sheetData>
  <autoFilter ref="A2:E56" xr:uid="{00000000-0009-0000-0000-000009000000}">
    <sortState xmlns:xlrd2="http://schemas.microsoft.com/office/spreadsheetml/2017/richdata2" ref="A3:E56">
      <sortCondition ref="A3:A56"/>
      <sortCondition ref="C3:C56"/>
    </sortState>
  </autoFilter>
  <mergeCells count="1">
    <mergeCell ref="A1:D1"/>
  </mergeCells>
  <printOptions gridLines="1"/>
  <pageMargins left="0.45" right="0.45" top="0.75" bottom="0.75" header="0.3" footer="0.3"/>
  <pageSetup scale="67" fitToHeight="0" orientation="landscape" r:id="rId1"/>
  <headerFooter>
    <oddHeader>&amp;C&amp;9Draft document released by Treasury FM QSMO on 3/29/2021. 
Please consider notional and pre-decisional for review and comment only. 
Send comments to FMQSMO@fiscal.treasury.gov</oddHeader>
    <oddFooter>&amp;C&amp;8Draft document released by Treasury FM QSMO on 3/29/2021. 
Please consider notional and pre-decisional for review and comment only. 
Send comments to FMQSMO@fiscal.treasury.gov</oddFooter>
  </headerFooter>
  <rowBreaks count="1" manualBreakCount="1">
    <brk id="48"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7B1E7-EBBB-46D6-BD6B-CC671887611F}">
  <dimension ref="A1:P40"/>
  <sheetViews>
    <sheetView zoomScale="80" zoomScaleNormal="80" workbookViewId="0">
      <selection activeCell="R9" sqref="R9"/>
    </sheetView>
  </sheetViews>
  <sheetFormatPr defaultRowHeight="14.75" x14ac:dyDescent="0.75"/>
  <cols>
    <col min="1" max="1" width="5.7265625" style="1" customWidth="1"/>
    <col min="16" max="16" width="9.1328125" customWidth="1"/>
  </cols>
  <sheetData>
    <row r="1" spans="1:16" s="1" customFormat="1" ht="28.4" customHeight="1" x14ac:dyDescent="0.75">
      <c r="A1" s="169"/>
      <c r="B1" s="169"/>
      <c r="C1" s="169"/>
      <c r="D1" s="169"/>
      <c r="E1" s="169"/>
      <c r="F1" s="169"/>
      <c r="G1" s="206" t="s">
        <v>0</v>
      </c>
      <c r="H1" s="205"/>
      <c r="I1" s="205"/>
      <c r="J1" s="205"/>
      <c r="K1" s="169"/>
      <c r="L1" s="169"/>
      <c r="M1" s="169"/>
      <c r="N1" s="169"/>
      <c r="O1" s="169"/>
      <c r="P1" s="169"/>
    </row>
    <row r="2" spans="1:16" s="1" customFormat="1" ht="90.2" customHeight="1" x14ac:dyDescent="0.75">
      <c r="A2" s="169"/>
      <c r="B2" s="169"/>
      <c r="C2" s="169"/>
      <c r="D2" s="169"/>
      <c r="E2" s="169"/>
      <c r="F2" s="169"/>
      <c r="G2" s="206" t="s">
        <v>3</v>
      </c>
      <c r="H2" s="221"/>
      <c r="I2" s="221"/>
      <c r="J2" s="221"/>
      <c r="K2" s="221"/>
      <c r="L2" s="221"/>
      <c r="M2" s="221"/>
      <c r="N2" s="221"/>
      <c r="O2" s="221"/>
      <c r="P2" s="221"/>
    </row>
    <row r="3" spans="1:16" s="1" customFormat="1" x14ac:dyDescent="0.75">
      <c r="A3" s="169"/>
      <c r="B3" s="169"/>
      <c r="C3" s="169"/>
      <c r="D3" s="169"/>
      <c r="E3" s="169"/>
      <c r="F3" s="169"/>
      <c r="G3" s="221"/>
      <c r="H3" s="221"/>
      <c r="I3" s="221"/>
      <c r="J3" s="221"/>
      <c r="K3" s="221"/>
      <c r="L3" s="221"/>
      <c r="M3" s="221"/>
      <c r="N3" s="221"/>
      <c r="O3" s="221"/>
      <c r="P3" s="221"/>
    </row>
    <row r="4" spans="1:16" s="1" customFormat="1" x14ac:dyDescent="0.75">
      <c r="A4" s="169"/>
      <c r="B4" s="169"/>
      <c r="C4" s="169"/>
      <c r="D4" s="169"/>
      <c r="E4" s="169"/>
      <c r="F4" s="169"/>
      <c r="G4" s="221"/>
      <c r="H4" s="221"/>
      <c r="I4" s="221"/>
      <c r="J4" s="221"/>
      <c r="K4" s="221"/>
      <c r="L4" s="221"/>
      <c r="M4" s="221"/>
      <c r="N4" s="221"/>
      <c r="O4" s="221"/>
      <c r="P4" s="221"/>
    </row>
    <row r="5" spans="1:16" s="1" customFormat="1" x14ac:dyDescent="0.75">
      <c r="A5" s="169"/>
      <c r="B5" s="169"/>
      <c r="C5" s="169"/>
      <c r="D5" s="169"/>
      <c r="E5" s="169"/>
      <c r="F5" s="169"/>
      <c r="G5" s="221"/>
      <c r="H5" s="221"/>
      <c r="I5" s="221"/>
      <c r="J5" s="221"/>
      <c r="K5" s="221"/>
      <c r="L5" s="221"/>
      <c r="M5" s="221"/>
      <c r="N5" s="221"/>
      <c r="O5" s="221"/>
      <c r="P5" s="221"/>
    </row>
    <row r="6" spans="1:16" s="1" customFormat="1" ht="45.65" customHeight="1" x14ac:dyDescent="0.75">
      <c r="A6" s="169"/>
      <c r="B6" s="169"/>
      <c r="C6" s="169"/>
      <c r="D6" s="169"/>
      <c r="E6" s="169"/>
      <c r="F6" s="169"/>
      <c r="G6" s="221"/>
      <c r="H6" s="221"/>
      <c r="I6" s="221"/>
      <c r="J6" s="221"/>
      <c r="K6" s="221"/>
      <c r="L6" s="221"/>
      <c r="M6" s="221"/>
      <c r="N6" s="221"/>
      <c r="O6" s="221"/>
      <c r="P6" s="221"/>
    </row>
    <row r="7" spans="1:16" s="1" customFormat="1" x14ac:dyDescent="0.75">
      <c r="A7" s="169"/>
      <c r="B7" s="172" t="s">
        <v>403</v>
      </c>
      <c r="C7" s="172"/>
      <c r="D7" s="156"/>
      <c r="E7" s="156"/>
      <c r="F7" s="169"/>
      <c r="G7" s="169"/>
      <c r="H7" s="169"/>
      <c r="I7" s="169"/>
      <c r="J7" s="169"/>
      <c r="K7" s="169"/>
      <c r="L7" s="169"/>
      <c r="M7" s="169"/>
      <c r="N7" s="169"/>
      <c r="O7" s="169"/>
      <c r="P7" s="169"/>
    </row>
    <row r="8" spans="1:16" s="1" customFormat="1" x14ac:dyDescent="0.75">
      <c r="A8" s="169"/>
      <c r="B8" s="172" t="s">
        <v>2</v>
      </c>
      <c r="C8" s="172"/>
      <c r="D8" s="156"/>
      <c r="E8" s="156"/>
      <c r="F8" s="169"/>
      <c r="G8" s="169"/>
      <c r="H8" s="169"/>
      <c r="I8" s="169"/>
      <c r="J8" s="169"/>
      <c r="K8" s="169"/>
      <c r="L8" s="169"/>
      <c r="M8" s="169"/>
      <c r="N8" s="169"/>
      <c r="O8" s="169"/>
      <c r="P8" s="169"/>
    </row>
    <row r="40" spans="2:16" ht="295.5" customHeight="1" x14ac:dyDescent="0.75">
      <c r="B40" s="205" t="s">
        <v>404</v>
      </c>
      <c r="C40" s="220"/>
      <c r="D40" s="220"/>
      <c r="E40" s="220"/>
      <c r="F40" s="220"/>
      <c r="G40" s="220"/>
      <c r="H40" s="220"/>
      <c r="I40" s="220"/>
      <c r="J40" s="220"/>
      <c r="K40" s="220"/>
      <c r="L40" s="220"/>
      <c r="M40" s="220"/>
      <c r="N40" s="220"/>
      <c r="O40" s="220"/>
      <c r="P40" s="220"/>
    </row>
  </sheetData>
  <mergeCells count="3">
    <mergeCell ref="B40:P40"/>
    <mergeCell ref="G2:P6"/>
    <mergeCell ref="G1:J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039F1-8429-4907-A04D-DED64DB80DE9}">
  <dimension ref="A1:E87"/>
  <sheetViews>
    <sheetView zoomScale="80" zoomScaleNormal="80" workbookViewId="0">
      <pane ySplit="9" topLeftCell="A10" activePane="bottomLeft" state="frozen"/>
      <selection pane="bottomLeft" activeCell="C2" sqref="C2:E6"/>
    </sheetView>
  </sheetViews>
  <sheetFormatPr defaultColWidth="8.86328125" defaultRowHeight="14.75" x14ac:dyDescent="0.75"/>
  <cols>
    <col min="1" max="1" width="21.86328125" style="2" customWidth="1"/>
    <col min="2" max="2" width="34.54296875" style="3" bestFit="1" customWidth="1"/>
    <col min="3" max="3" width="12.26953125" style="2" customWidth="1"/>
    <col min="4" max="4" width="31.1328125" style="4" bestFit="1" customWidth="1"/>
    <col min="5" max="5" width="74.40625" style="4" customWidth="1"/>
    <col min="6" max="16384" width="8.86328125" style="3"/>
  </cols>
  <sheetData>
    <row r="1" spans="1:5" ht="15.95" customHeight="1" x14ac:dyDescent="0.75">
      <c r="A1" s="163"/>
      <c r="B1" s="163"/>
      <c r="C1" s="173" t="s">
        <v>0</v>
      </c>
      <c r="D1" s="163"/>
      <c r="E1" s="163"/>
    </row>
    <row r="2" spans="1:5" ht="32.9" customHeight="1" x14ac:dyDescent="0.75">
      <c r="A2" s="163"/>
      <c r="B2" s="163"/>
      <c r="C2" s="222" t="s">
        <v>3</v>
      </c>
      <c r="D2" s="223"/>
      <c r="E2" s="223"/>
    </row>
    <row r="3" spans="1:5" x14ac:dyDescent="0.75">
      <c r="A3" s="163"/>
      <c r="B3" s="163"/>
      <c r="C3" s="223"/>
      <c r="D3" s="223"/>
      <c r="E3" s="223"/>
    </row>
    <row r="4" spans="1:5" ht="14.9" customHeight="1" x14ac:dyDescent="0.75">
      <c r="A4" s="163"/>
      <c r="B4" s="163"/>
      <c r="C4" s="223"/>
      <c r="D4" s="223"/>
      <c r="E4" s="223"/>
    </row>
    <row r="5" spans="1:5" x14ac:dyDescent="0.75">
      <c r="A5" s="163"/>
      <c r="B5" s="163"/>
      <c r="C5" s="223"/>
      <c r="D5" s="223"/>
      <c r="E5" s="223"/>
    </row>
    <row r="6" spans="1:5" ht="60.75" customHeight="1" x14ac:dyDescent="0.7">
      <c r="A6" s="168" t="s">
        <v>405</v>
      </c>
      <c r="B6" s="163"/>
      <c r="C6" s="223"/>
      <c r="D6" s="223"/>
      <c r="E6" s="223"/>
    </row>
    <row r="7" spans="1:5" s="159" customFormat="1" ht="88.5" customHeight="1" x14ac:dyDescent="0.75">
      <c r="A7" s="166" t="str">
        <f>Overview!A4</f>
        <v>As of: May 26, 2021</v>
      </c>
      <c r="B7" s="167" t="s">
        <v>406</v>
      </c>
      <c r="C7" s="226" t="s">
        <v>407</v>
      </c>
      <c r="D7" s="227"/>
      <c r="E7" s="227"/>
    </row>
    <row r="8" spans="1:5" x14ac:dyDescent="0.75">
      <c r="A8" s="225" t="s">
        <v>408</v>
      </c>
      <c r="B8" s="225"/>
      <c r="C8" s="224" t="s">
        <v>409</v>
      </c>
      <c r="D8" s="224"/>
      <c r="E8" s="224"/>
    </row>
    <row r="9" spans="1:5" ht="14.9" customHeight="1" x14ac:dyDescent="0.75">
      <c r="A9" s="5" t="s">
        <v>410</v>
      </c>
      <c r="B9" s="6" t="s">
        <v>411</v>
      </c>
      <c r="C9" s="5" t="s">
        <v>412</v>
      </c>
      <c r="D9" s="6" t="s">
        <v>413</v>
      </c>
      <c r="E9" s="4" t="s">
        <v>414</v>
      </c>
    </row>
    <row r="10" spans="1:5" ht="44.25" x14ac:dyDescent="0.75">
      <c r="A10" s="29">
        <v>0.1</v>
      </c>
      <c r="B10" s="3" t="s">
        <v>415</v>
      </c>
      <c r="C10" s="7"/>
      <c r="D10" s="6"/>
      <c r="E10" s="4" t="s">
        <v>416</v>
      </c>
    </row>
    <row r="11" spans="1:5" ht="29.5" x14ac:dyDescent="0.75">
      <c r="A11" s="29">
        <v>0.1</v>
      </c>
      <c r="B11" s="30" t="s">
        <v>415</v>
      </c>
      <c r="C11" s="29" t="s">
        <v>417</v>
      </c>
      <c r="D11" s="30" t="s">
        <v>418</v>
      </c>
      <c r="E11" s="30" t="s">
        <v>419</v>
      </c>
    </row>
    <row r="12" spans="1:5" ht="44.25" x14ac:dyDescent="0.75">
      <c r="A12" s="2">
        <v>0.1</v>
      </c>
      <c r="B12" s="3" t="s">
        <v>415</v>
      </c>
      <c r="C12" s="2" t="s">
        <v>420</v>
      </c>
      <c r="D12" s="4" t="s">
        <v>421</v>
      </c>
      <c r="E12" s="4" t="s">
        <v>422</v>
      </c>
    </row>
    <row r="13" spans="1:5" ht="29.5" x14ac:dyDescent="0.75">
      <c r="A13" s="29">
        <v>0.1</v>
      </c>
      <c r="B13" s="30" t="s">
        <v>415</v>
      </c>
      <c r="C13" s="29" t="s">
        <v>423</v>
      </c>
      <c r="D13" s="30" t="s">
        <v>424</v>
      </c>
      <c r="E13" s="30" t="s">
        <v>425</v>
      </c>
    </row>
    <row r="14" spans="1:5" ht="49.15" customHeight="1" x14ac:dyDescent="0.75">
      <c r="A14" s="2">
        <v>0.1</v>
      </c>
      <c r="B14" s="4" t="s">
        <v>415</v>
      </c>
      <c r="C14" s="2" t="s">
        <v>426</v>
      </c>
      <c r="D14" s="4" t="s">
        <v>427</v>
      </c>
      <c r="E14" s="4" t="s">
        <v>428</v>
      </c>
    </row>
    <row r="15" spans="1:5" ht="59" x14ac:dyDescent="0.75">
      <c r="A15" s="29">
        <v>0.1</v>
      </c>
      <c r="B15" s="30" t="s">
        <v>415</v>
      </c>
      <c r="C15" s="17" t="s">
        <v>429</v>
      </c>
      <c r="D15" s="18" t="s">
        <v>430</v>
      </c>
      <c r="E15" s="19" t="s">
        <v>431</v>
      </c>
    </row>
    <row r="16" spans="1:5" ht="22.15" customHeight="1" x14ac:dyDescent="0.75">
      <c r="A16" s="2">
        <v>0.1</v>
      </c>
      <c r="B16" s="4" t="s">
        <v>415</v>
      </c>
      <c r="C16" s="17" t="s">
        <v>432</v>
      </c>
      <c r="D16" s="18" t="s">
        <v>433</v>
      </c>
      <c r="E16" s="19" t="s">
        <v>434</v>
      </c>
    </row>
    <row r="17" spans="1:5" ht="43.9" customHeight="1" x14ac:dyDescent="0.75">
      <c r="A17" s="29">
        <v>0.2</v>
      </c>
      <c r="B17" s="31" t="s">
        <v>435</v>
      </c>
      <c r="C17" s="29"/>
      <c r="D17" s="30"/>
      <c r="E17" s="30" t="s">
        <v>436</v>
      </c>
    </row>
    <row r="18" spans="1:5" ht="48.65" customHeight="1" x14ac:dyDescent="0.75">
      <c r="A18" s="2">
        <v>0.2</v>
      </c>
      <c r="B18" s="3" t="s">
        <v>435</v>
      </c>
      <c r="C18" s="2" t="s">
        <v>437</v>
      </c>
      <c r="D18" s="4" t="s">
        <v>438</v>
      </c>
      <c r="E18" s="4" t="s">
        <v>439</v>
      </c>
    </row>
    <row r="19" spans="1:5" ht="48.65" customHeight="1" x14ac:dyDescent="0.75">
      <c r="A19" s="29">
        <v>0.2</v>
      </c>
      <c r="B19" s="31" t="s">
        <v>435</v>
      </c>
      <c r="C19" s="29" t="s">
        <v>440</v>
      </c>
      <c r="D19" s="30" t="s">
        <v>441</v>
      </c>
      <c r="E19" s="30" t="s">
        <v>442</v>
      </c>
    </row>
    <row r="20" spans="1:5" ht="46.9" customHeight="1" x14ac:dyDescent="0.75">
      <c r="A20" s="29">
        <v>0.2</v>
      </c>
      <c r="B20" s="31" t="s">
        <v>435</v>
      </c>
      <c r="C20" s="29" t="s">
        <v>443</v>
      </c>
      <c r="D20" s="30" t="s">
        <v>444</v>
      </c>
      <c r="E20" s="30" t="s">
        <v>445</v>
      </c>
    </row>
    <row r="21" spans="1:5" ht="48" customHeight="1" x14ac:dyDescent="0.75">
      <c r="A21" s="29">
        <v>0.2</v>
      </c>
      <c r="B21" s="31" t="s">
        <v>435</v>
      </c>
      <c r="C21" s="29" t="s">
        <v>446</v>
      </c>
      <c r="D21" s="30" t="s">
        <v>447</v>
      </c>
      <c r="E21" s="30" t="s">
        <v>448</v>
      </c>
    </row>
    <row r="22" spans="1:5" ht="50.45" customHeight="1" x14ac:dyDescent="0.75">
      <c r="A22" s="2">
        <v>0.2</v>
      </c>
      <c r="B22" s="3" t="s">
        <v>435</v>
      </c>
      <c r="C22" s="20" t="s">
        <v>449</v>
      </c>
      <c r="D22" s="19" t="s">
        <v>450</v>
      </c>
      <c r="E22" s="19" t="s">
        <v>451</v>
      </c>
    </row>
    <row r="23" spans="1:5" ht="63.65" customHeight="1" x14ac:dyDescent="0.75">
      <c r="A23" s="29">
        <v>0.3</v>
      </c>
      <c r="B23" s="31" t="s">
        <v>452</v>
      </c>
      <c r="C23" s="29"/>
      <c r="D23" s="30"/>
      <c r="E23" s="30" t="s">
        <v>453</v>
      </c>
    </row>
    <row r="24" spans="1:5" ht="138.65" customHeight="1" x14ac:dyDescent="0.75">
      <c r="A24" s="2">
        <v>0.3</v>
      </c>
      <c r="B24" s="3" t="s">
        <v>452</v>
      </c>
      <c r="C24" s="2" t="s">
        <v>454</v>
      </c>
      <c r="D24" s="4" t="s">
        <v>455</v>
      </c>
      <c r="E24" s="4" t="s">
        <v>456</v>
      </c>
    </row>
    <row r="25" spans="1:5" ht="110.45" customHeight="1" x14ac:dyDescent="0.75">
      <c r="A25" s="29">
        <v>0.3</v>
      </c>
      <c r="B25" s="31" t="s">
        <v>452</v>
      </c>
      <c r="C25" s="29" t="s">
        <v>457</v>
      </c>
      <c r="D25" s="30" t="s">
        <v>458</v>
      </c>
      <c r="E25" s="30" t="s">
        <v>459</v>
      </c>
    </row>
    <row r="26" spans="1:5" ht="103.9" customHeight="1" x14ac:dyDescent="0.75">
      <c r="A26" s="2">
        <v>0.3</v>
      </c>
      <c r="B26" s="3" t="s">
        <v>452</v>
      </c>
      <c r="C26" s="2" t="s">
        <v>460</v>
      </c>
      <c r="D26" s="4" t="s">
        <v>461</v>
      </c>
      <c r="E26" s="4" t="s">
        <v>462</v>
      </c>
    </row>
    <row r="27" spans="1:5" ht="46.15" customHeight="1" x14ac:dyDescent="0.75">
      <c r="A27" s="29">
        <v>0.3</v>
      </c>
      <c r="B27" s="31" t="s">
        <v>452</v>
      </c>
      <c r="C27" s="17" t="s">
        <v>463</v>
      </c>
      <c r="D27" s="18" t="s">
        <v>464</v>
      </c>
      <c r="E27" s="19" t="s">
        <v>465</v>
      </c>
    </row>
    <row r="28" spans="1:5" ht="75" customHeight="1" x14ac:dyDescent="0.75">
      <c r="A28" s="2">
        <v>1.1000000000000001</v>
      </c>
      <c r="B28" s="3" t="s">
        <v>466</v>
      </c>
      <c r="D28" s="3"/>
      <c r="E28" s="4" t="s">
        <v>467</v>
      </c>
    </row>
    <row r="29" spans="1:5" ht="44.25" x14ac:dyDescent="0.75">
      <c r="A29" s="29">
        <v>1.1000000000000001</v>
      </c>
      <c r="B29" s="31" t="s">
        <v>466</v>
      </c>
      <c r="C29" s="29" t="s">
        <v>468</v>
      </c>
      <c r="D29" s="30" t="s">
        <v>469</v>
      </c>
      <c r="E29" s="30" t="s">
        <v>470</v>
      </c>
    </row>
    <row r="30" spans="1:5" ht="45" customHeight="1" x14ac:dyDescent="0.75">
      <c r="A30" s="2">
        <v>1.1000000000000001</v>
      </c>
      <c r="B30" s="3" t="s">
        <v>466</v>
      </c>
      <c r="C30" s="2" t="s">
        <v>471</v>
      </c>
      <c r="D30" s="4" t="s">
        <v>472</v>
      </c>
      <c r="E30" s="4" t="s">
        <v>473</v>
      </c>
    </row>
    <row r="31" spans="1:5" x14ac:dyDescent="0.75">
      <c r="A31" s="29">
        <v>1.1000000000000001</v>
      </c>
      <c r="B31" s="31" t="s">
        <v>466</v>
      </c>
      <c r="C31" s="17" t="s">
        <v>474</v>
      </c>
      <c r="D31" s="19" t="s">
        <v>475</v>
      </c>
      <c r="E31" s="19" t="s">
        <v>476</v>
      </c>
    </row>
    <row r="32" spans="1:5" x14ac:dyDescent="0.75">
      <c r="A32" s="2">
        <v>1.1000000000000001</v>
      </c>
      <c r="B32" s="3" t="s">
        <v>466</v>
      </c>
      <c r="C32" s="17" t="s">
        <v>477</v>
      </c>
      <c r="D32" s="19" t="s">
        <v>478</v>
      </c>
      <c r="E32" s="19" t="s">
        <v>479</v>
      </c>
    </row>
    <row r="33" spans="1:5" ht="69" customHeight="1" x14ac:dyDescent="0.75">
      <c r="A33" s="29">
        <v>1.2</v>
      </c>
      <c r="B33" s="31" t="s">
        <v>480</v>
      </c>
      <c r="C33" s="29"/>
      <c r="D33" s="30"/>
      <c r="E33" s="30" t="s">
        <v>481</v>
      </c>
    </row>
    <row r="34" spans="1:5" ht="91.15" customHeight="1" x14ac:dyDescent="0.75">
      <c r="A34" s="2">
        <v>1.2</v>
      </c>
      <c r="B34" s="3" t="s">
        <v>480</v>
      </c>
      <c r="C34" s="2" t="s">
        <v>482</v>
      </c>
      <c r="D34" s="4" t="s">
        <v>483</v>
      </c>
      <c r="E34" s="4" t="s">
        <v>484</v>
      </c>
    </row>
    <row r="35" spans="1:5" ht="44.25" x14ac:dyDescent="0.75">
      <c r="A35" s="29">
        <v>1.2</v>
      </c>
      <c r="B35" s="31" t="s">
        <v>480</v>
      </c>
      <c r="C35" s="29" t="s">
        <v>485</v>
      </c>
      <c r="D35" s="30" t="s">
        <v>486</v>
      </c>
      <c r="E35" s="30" t="s">
        <v>487</v>
      </c>
    </row>
    <row r="36" spans="1:5" ht="110.45" customHeight="1" x14ac:dyDescent="0.75">
      <c r="A36" s="2">
        <v>1.2</v>
      </c>
      <c r="B36" s="3" t="s">
        <v>480</v>
      </c>
      <c r="C36" s="2" t="s">
        <v>488</v>
      </c>
      <c r="D36" s="4" t="s">
        <v>489</v>
      </c>
      <c r="E36" s="4" t="s">
        <v>490</v>
      </c>
    </row>
    <row r="37" spans="1:5" ht="93" customHeight="1" x14ac:dyDescent="0.75">
      <c r="A37" s="29">
        <v>2.1</v>
      </c>
      <c r="B37" s="31" t="s">
        <v>491</v>
      </c>
      <c r="C37" s="29"/>
      <c r="D37" s="30"/>
      <c r="E37" s="30" t="s">
        <v>492</v>
      </c>
    </row>
    <row r="38" spans="1:5" ht="63" customHeight="1" x14ac:dyDescent="0.75">
      <c r="A38" s="29">
        <v>2.1</v>
      </c>
      <c r="B38" s="31" t="s">
        <v>491</v>
      </c>
      <c r="C38" s="29" t="s">
        <v>493</v>
      </c>
      <c r="D38" s="30" t="s">
        <v>494</v>
      </c>
      <c r="E38" s="30" t="s">
        <v>495</v>
      </c>
    </row>
    <row r="39" spans="1:5" ht="45" customHeight="1" x14ac:dyDescent="0.75">
      <c r="A39" s="29">
        <v>2.1</v>
      </c>
      <c r="B39" s="31" t="s">
        <v>491</v>
      </c>
      <c r="C39" s="29" t="s">
        <v>496</v>
      </c>
      <c r="D39" s="30" t="s">
        <v>497</v>
      </c>
      <c r="E39" s="30" t="s">
        <v>498</v>
      </c>
    </row>
    <row r="40" spans="1:5" ht="29.5" x14ac:dyDescent="0.75">
      <c r="A40" s="29">
        <v>2.1</v>
      </c>
      <c r="B40" s="31" t="s">
        <v>491</v>
      </c>
      <c r="C40" s="29" t="s">
        <v>499</v>
      </c>
      <c r="D40" s="30" t="s">
        <v>500</v>
      </c>
      <c r="E40" s="30" t="s">
        <v>501</v>
      </c>
    </row>
    <row r="41" spans="1:5" ht="29.5" x14ac:dyDescent="0.75">
      <c r="A41" s="29">
        <v>2.1</v>
      </c>
      <c r="B41" s="31" t="s">
        <v>491</v>
      </c>
      <c r="C41" s="29" t="s">
        <v>502</v>
      </c>
      <c r="D41" s="30" t="s">
        <v>503</v>
      </c>
      <c r="E41" s="30" t="s">
        <v>504</v>
      </c>
    </row>
    <row r="42" spans="1:5" ht="34.15" customHeight="1" x14ac:dyDescent="0.75">
      <c r="A42" s="29">
        <v>2.1</v>
      </c>
      <c r="B42" s="31" t="s">
        <v>491</v>
      </c>
      <c r="C42" s="29" t="s">
        <v>505</v>
      </c>
      <c r="D42" s="30" t="s">
        <v>506</v>
      </c>
      <c r="E42" s="30" t="s">
        <v>507</v>
      </c>
    </row>
    <row r="43" spans="1:5" ht="49.15" customHeight="1" x14ac:dyDescent="0.75">
      <c r="A43" s="29">
        <v>2.1</v>
      </c>
      <c r="B43" s="31" t="s">
        <v>491</v>
      </c>
      <c r="C43" s="29" t="s">
        <v>508</v>
      </c>
      <c r="D43" s="30" t="s">
        <v>509</v>
      </c>
      <c r="E43" s="30" t="s">
        <v>510</v>
      </c>
    </row>
    <row r="44" spans="1:5" ht="126.65" customHeight="1" x14ac:dyDescent="0.75">
      <c r="A44" s="29">
        <v>2.2000000000000002</v>
      </c>
      <c r="B44" s="31" t="s">
        <v>511</v>
      </c>
      <c r="C44" s="29"/>
      <c r="D44" s="30"/>
      <c r="E44" s="30" t="s">
        <v>512</v>
      </c>
    </row>
    <row r="45" spans="1:5" ht="60.65" customHeight="1" x14ac:dyDescent="0.75">
      <c r="A45" s="29">
        <v>2.2000000000000002</v>
      </c>
      <c r="B45" s="31" t="s">
        <v>511</v>
      </c>
      <c r="C45" s="29" t="s">
        <v>513</v>
      </c>
      <c r="D45" s="30" t="s">
        <v>514</v>
      </c>
      <c r="E45" s="30" t="s">
        <v>515</v>
      </c>
    </row>
    <row r="46" spans="1:5" ht="46.15" customHeight="1" x14ac:dyDescent="0.75">
      <c r="A46" s="29">
        <v>2.2000000000000002</v>
      </c>
      <c r="B46" s="31" t="s">
        <v>511</v>
      </c>
      <c r="C46" s="29" t="s">
        <v>516</v>
      </c>
      <c r="D46" s="30" t="s">
        <v>517</v>
      </c>
      <c r="E46" s="30" t="s">
        <v>518</v>
      </c>
    </row>
    <row r="47" spans="1:5" ht="29.5" x14ac:dyDescent="0.75">
      <c r="A47" s="29">
        <v>2.2000000000000002</v>
      </c>
      <c r="B47" s="31" t="s">
        <v>511</v>
      </c>
      <c r="C47" s="29" t="s">
        <v>519</v>
      </c>
      <c r="D47" s="30" t="s">
        <v>520</v>
      </c>
      <c r="E47" s="30" t="s">
        <v>521</v>
      </c>
    </row>
    <row r="48" spans="1:5" ht="52.15" customHeight="1" x14ac:dyDescent="0.75">
      <c r="A48" s="29">
        <v>2.2000000000000002</v>
      </c>
      <c r="B48" s="31" t="s">
        <v>511</v>
      </c>
      <c r="C48" s="29" t="s">
        <v>522</v>
      </c>
      <c r="D48" s="30" t="s">
        <v>523</v>
      </c>
      <c r="E48" s="30" t="s">
        <v>524</v>
      </c>
    </row>
    <row r="49" spans="1:5" ht="63" customHeight="1" x14ac:dyDescent="0.75">
      <c r="A49" s="29">
        <v>2.2999999999999998</v>
      </c>
      <c r="B49" s="31" t="s">
        <v>525</v>
      </c>
      <c r="C49" s="29"/>
      <c r="D49" s="30"/>
      <c r="E49" s="30" t="s">
        <v>526</v>
      </c>
    </row>
    <row r="50" spans="1:5" ht="40.9" customHeight="1" x14ac:dyDescent="0.75">
      <c r="A50" s="29">
        <v>2.2999999999999998</v>
      </c>
      <c r="B50" s="31" t="s">
        <v>525</v>
      </c>
      <c r="C50" s="29" t="s">
        <v>527</v>
      </c>
      <c r="D50" s="30" t="s">
        <v>528</v>
      </c>
      <c r="E50" s="30" t="s">
        <v>529</v>
      </c>
    </row>
    <row r="51" spans="1:5" ht="44.25" x14ac:dyDescent="0.75">
      <c r="A51" s="29">
        <v>2.4</v>
      </c>
      <c r="B51" s="31" t="s">
        <v>530</v>
      </c>
      <c r="C51" s="29"/>
      <c r="D51" s="30"/>
      <c r="E51" s="30" t="s">
        <v>531</v>
      </c>
    </row>
    <row r="52" spans="1:5" ht="29.5" x14ac:dyDescent="0.75">
      <c r="A52" s="29">
        <v>2.4</v>
      </c>
      <c r="B52" s="31" t="s">
        <v>530</v>
      </c>
      <c r="C52" s="29" t="s">
        <v>532</v>
      </c>
      <c r="D52" s="30" t="s">
        <v>533</v>
      </c>
      <c r="E52" s="30" t="s">
        <v>534</v>
      </c>
    </row>
    <row r="53" spans="1:5" ht="29.5" x14ac:dyDescent="0.75">
      <c r="A53" s="29">
        <v>2.4</v>
      </c>
      <c r="B53" s="31" t="s">
        <v>530</v>
      </c>
      <c r="C53" s="29" t="s">
        <v>535</v>
      </c>
      <c r="D53" s="30" t="s">
        <v>536</v>
      </c>
      <c r="E53" s="30" t="s">
        <v>537</v>
      </c>
    </row>
    <row r="54" spans="1:5" ht="29.5" x14ac:dyDescent="0.75">
      <c r="A54" s="29">
        <v>2.4</v>
      </c>
      <c r="B54" s="31" t="s">
        <v>530</v>
      </c>
      <c r="C54" s="29" t="s">
        <v>538</v>
      </c>
      <c r="D54" s="30" t="s">
        <v>539</v>
      </c>
      <c r="E54" s="30" t="s">
        <v>540</v>
      </c>
    </row>
    <row r="55" spans="1:5" ht="29.5" x14ac:dyDescent="0.75">
      <c r="A55" s="29">
        <v>2.4</v>
      </c>
      <c r="B55" s="31" t="s">
        <v>530</v>
      </c>
      <c r="C55" s="29" t="s">
        <v>541</v>
      </c>
      <c r="D55" s="30" t="s">
        <v>542</v>
      </c>
      <c r="E55" s="30" t="s">
        <v>543</v>
      </c>
    </row>
    <row r="56" spans="1:5" ht="73.75" x14ac:dyDescent="0.75">
      <c r="A56" s="29">
        <v>2.4</v>
      </c>
      <c r="B56" s="31" t="s">
        <v>530</v>
      </c>
      <c r="C56" s="29" t="s">
        <v>544</v>
      </c>
      <c r="D56" s="30" t="s">
        <v>545</v>
      </c>
      <c r="E56" s="30" t="s">
        <v>546</v>
      </c>
    </row>
    <row r="57" spans="1:5" ht="29.5" x14ac:dyDescent="0.75">
      <c r="A57" s="29">
        <v>2.4</v>
      </c>
      <c r="B57" s="31" t="s">
        <v>530</v>
      </c>
      <c r="C57" s="29" t="s">
        <v>547</v>
      </c>
      <c r="D57" s="30" t="s">
        <v>548</v>
      </c>
      <c r="E57" s="30" t="s">
        <v>549</v>
      </c>
    </row>
    <row r="58" spans="1:5" ht="44.25" x14ac:dyDescent="0.75">
      <c r="A58" s="29">
        <v>3.1</v>
      </c>
      <c r="B58" s="31" t="s">
        <v>550</v>
      </c>
      <c r="C58" s="29"/>
      <c r="D58" s="30"/>
      <c r="E58" s="30" t="s">
        <v>551</v>
      </c>
    </row>
    <row r="59" spans="1:5" ht="44.25" x14ac:dyDescent="0.75">
      <c r="A59" s="29">
        <v>3.1</v>
      </c>
      <c r="B59" s="31" t="s">
        <v>550</v>
      </c>
      <c r="C59" s="29" t="s">
        <v>552</v>
      </c>
      <c r="D59" s="30" t="s">
        <v>553</v>
      </c>
      <c r="E59" s="30" t="s">
        <v>554</v>
      </c>
    </row>
    <row r="60" spans="1:5" ht="29.5" x14ac:dyDescent="0.75">
      <c r="A60" s="29">
        <v>3.1</v>
      </c>
      <c r="B60" s="31" t="s">
        <v>550</v>
      </c>
      <c r="C60" s="29" t="s">
        <v>555</v>
      </c>
      <c r="D60" s="30" t="s">
        <v>556</v>
      </c>
      <c r="E60" s="30" t="s">
        <v>557</v>
      </c>
    </row>
    <row r="61" spans="1:5" ht="29.5" x14ac:dyDescent="0.75">
      <c r="A61" s="29">
        <v>3.1</v>
      </c>
      <c r="B61" s="31" t="s">
        <v>550</v>
      </c>
      <c r="C61" s="29" t="s">
        <v>558</v>
      </c>
      <c r="D61" s="30" t="s">
        <v>559</v>
      </c>
      <c r="E61" s="30" t="s">
        <v>560</v>
      </c>
    </row>
    <row r="62" spans="1:5" ht="75.650000000000006" customHeight="1" x14ac:dyDescent="0.75">
      <c r="A62" s="2">
        <v>3.1</v>
      </c>
      <c r="B62" s="3" t="s">
        <v>550</v>
      </c>
      <c r="C62" s="17" t="s">
        <v>561</v>
      </c>
      <c r="D62" s="19" t="s">
        <v>562</v>
      </c>
      <c r="E62" s="19" t="s">
        <v>563</v>
      </c>
    </row>
    <row r="63" spans="1:5" ht="65.45" customHeight="1" x14ac:dyDescent="0.75">
      <c r="A63" s="29">
        <v>3.1</v>
      </c>
      <c r="B63" s="31" t="s">
        <v>550</v>
      </c>
      <c r="C63" s="17" t="s">
        <v>564</v>
      </c>
      <c r="D63" s="19" t="s">
        <v>565</v>
      </c>
      <c r="E63" s="19" t="s">
        <v>566</v>
      </c>
    </row>
    <row r="64" spans="1:5" ht="44.25" x14ac:dyDescent="0.75">
      <c r="A64" s="29">
        <v>4.0999999999999996</v>
      </c>
      <c r="B64" s="31" t="s">
        <v>567</v>
      </c>
      <c r="C64" s="29"/>
      <c r="D64" s="30"/>
      <c r="E64" s="30" t="s">
        <v>568</v>
      </c>
    </row>
    <row r="65" spans="1:5" ht="44.25" x14ac:dyDescent="0.75">
      <c r="A65" s="29">
        <v>4.0999999999999996</v>
      </c>
      <c r="B65" s="31" t="s">
        <v>567</v>
      </c>
      <c r="C65" s="29" t="s">
        <v>569</v>
      </c>
      <c r="D65" s="30" t="s">
        <v>570</v>
      </c>
      <c r="E65" s="30" t="s">
        <v>571</v>
      </c>
    </row>
    <row r="66" spans="1:5" ht="39" customHeight="1" x14ac:dyDescent="0.75">
      <c r="A66" s="29">
        <v>4.0999999999999996</v>
      </c>
      <c r="B66" s="31" t="s">
        <v>567</v>
      </c>
      <c r="C66" s="29" t="s">
        <v>572</v>
      </c>
      <c r="D66" s="30" t="s">
        <v>573</v>
      </c>
      <c r="E66" s="30" t="s">
        <v>574</v>
      </c>
    </row>
    <row r="67" spans="1:5" ht="78" customHeight="1" x14ac:dyDescent="0.75">
      <c r="A67" s="29">
        <v>4.0999999999999996</v>
      </c>
      <c r="B67" s="31" t="s">
        <v>567</v>
      </c>
      <c r="C67" s="29" t="s">
        <v>575</v>
      </c>
      <c r="D67" s="30" t="s">
        <v>576</v>
      </c>
      <c r="E67" s="30" t="s">
        <v>577</v>
      </c>
    </row>
    <row r="68" spans="1:5" ht="59" x14ac:dyDescent="0.75">
      <c r="A68" s="29">
        <v>4.0999999999999996</v>
      </c>
      <c r="B68" s="31" t="s">
        <v>567</v>
      </c>
      <c r="C68" s="29" t="s">
        <v>578</v>
      </c>
      <c r="D68" s="30" t="s">
        <v>579</v>
      </c>
      <c r="E68" s="30" t="s">
        <v>580</v>
      </c>
    </row>
    <row r="69" spans="1:5" ht="29.5" x14ac:dyDescent="0.75">
      <c r="A69" s="29">
        <v>4.0999999999999996</v>
      </c>
      <c r="B69" s="31" t="s">
        <v>567</v>
      </c>
      <c r="C69" s="29" t="s">
        <v>581</v>
      </c>
      <c r="D69" s="30" t="s">
        <v>582</v>
      </c>
      <c r="E69" s="30" t="s">
        <v>583</v>
      </c>
    </row>
    <row r="70" spans="1:5" ht="29.5" x14ac:dyDescent="0.75">
      <c r="A70" s="29">
        <v>4.0999999999999996</v>
      </c>
      <c r="B70" s="31" t="s">
        <v>567</v>
      </c>
      <c r="C70" s="29" t="s">
        <v>584</v>
      </c>
      <c r="D70" s="30" t="s">
        <v>585</v>
      </c>
      <c r="E70" s="30" t="s">
        <v>586</v>
      </c>
    </row>
    <row r="71" spans="1:5" ht="29.5" x14ac:dyDescent="0.75">
      <c r="A71" s="29">
        <v>4.0999999999999996</v>
      </c>
      <c r="B71" s="31" t="s">
        <v>567</v>
      </c>
      <c r="C71" s="29" t="s">
        <v>587</v>
      </c>
      <c r="D71" s="30" t="s">
        <v>588</v>
      </c>
      <c r="E71" s="30" t="s">
        <v>589</v>
      </c>
    </row>
    <row r="72" spans="1:5" ht="29.5" x14ac:dyDescent="0.75">
      <c r="A72" s="2">
        <v>4.0999999999999996</v>
      </c>
      <c r="B72" s="3" t="s">
        <v>567</v>
      </c>
      <c r="C72" s="17" t="s">
        <v>590</v>
      </c>
      <c r="D72" s="19" t="s">
        <v>591</v>
      </c>
      <c r="E72" s="19" t="s">
        <v>592</v>
      </c>
    </row>
    <row r="73" spans="1:5" x14ac:dyDescent="0.75">
      <c r="A73" s="22">
        <v>6.1</v>
      </c>
      <c r="B73" s="21" t="s">
        <v>593</v>
      </c>
      <c r="C73" s="21" t="s">
        <v>594</v>
      </c>
      <c r="D73" s="19" t="s">
        <v>595</v>
      </c>
      <c r="E73" s="19" t="s">
        <v>596</v>
      </c>
    </row>
    <row r="74" spans="1:5" ht="29.5" x14ac:dyDescent="0.75">
      <c r="A74" s="22">
        <v>6.1</v>
      </c>
      <c r="B74" s="21" t="s">
        <v>593</v>
      </c>
      <c r="C74" s="17" t="s">
        <v>597</v>
      </c>
      <c r="D74" s="19" t="s">
        <v>598</v>
      </c>
      <c r="E74" s="19" t="s">
        <v>599</v>
      </c>
    </row>
    <row r="75" spans="1:5" x14ac:dyDescent="0.75">
      <c r="A75" s="22">
        <v>6.1</v>
      </c>
      <c r="B75" s="21" t="s">
        <v>593</v>
      </c>
      <c r="C75" s="17" t="s">
        <v>600</v>
      </c>
      <c r="D75" s="19" t="s">
        <v>601</v>
      </c>
      <c r="E75" s="19" t="s">
        <v>602</v>
      </c>
    </row>
    <row r="76" spans="1:5" ht="29.5" x14ac:dyDescent="0.75">
      <c r="A76" s="22">
        <v>6.2</v>
      </c>
      <c r="B76" s="23" t="s">
        <v>603</v>
      </c>
      <c r="C76" s="24" t="s">
        <v>604</v>
      </c>
      <c r="D76" s="25" t="s">
        <v>605</v>
      </c>
      <c r="E76" s="25" t="s">
        <v>606</v>
      </c>
    </row>
    <row r="77" spans="1:5" s="1" customFormat="1" ht="58.9" customHeight="1" x14ac:dyDescent="0.75">
      <c r="A77" s="22">
        <v>6.2</v>
      </c>
      <c r="B77" s="26" t="s">
        <v>603</v>
      </c>
      <c r="C77" s="21" t="s">
        <v>607</v>
      </c>
      <c r="D77" s="27" t="s">
        <v>608</v>
      </c>
      <c r="E77" s="28" t="s">
        <v>609</v>
      </c>
    </row>
    <row r="78" spans="1:5" ht="47.45" customHeight="1" x14ac:dyDescent="0.75">
      <c r="A78" s="22">
        <v>6.2</v>
      </c>
      <c r="B78" s="26" t="s">
        <v>603</v>
      </c>
      <c r="C78" s="21" t="s">
        <v>610</v>
      </c>
      <c r="D78" s="27" t="s">
        <v>611</v>
      </c>
      <c r="E78" s="28" t="s">
        <v>612</v>
      </c>
    </row>
    <row r="79" spans="1:5" s="1" customFormat="1" ht="29.5" x14ac:dyDescent="0.75">
      <c r="A79" s="22">
        <v>6.2</v>
      </c>
      <c r="B79" s="26" t="s">
        <v>603</v>
      </c>
      <c r="C79" s="21" t="s">
        <v>613</v>
      </c>
      <c r="D79" s="27" t="s">
        <v>614</v>
      </c>
      <c r="E79" s="28" t="s">
        <v>615</v>
      </c>
    </row>
    <row r="80" spans="1:5" s="1" customFormat="1" ht="34.9" customHeight="1" x14ac:dyDescent="0.75">
      <c r="A80" s="22">
        <v>6.3</v>
      </c>
      <c r="B80" s="26" t="s">
        <v>616</v>
      </c>
      <c r="C80" s="21" t="s">
        <v>617</v>
      </c>
      <c r="D80" s="27" t="s">
        <v>618</v>
      </c>
      <c r="E80" s="28" t="s">
        <v>619</v>
      </c>
    </row>
    <row r="81" spans="1:5" s="1" customFormat="1" ht="29.5" x14ac:dyDescent="0.75">
      <c r="A81" s="22">
        <v>6.3</v>
      </c>
      <c r="B81" s="26" t="s">
        <v>616</v>
      </c>
      <c r="C81" s="21" t="s">
        <v>620</v>
      </c>
      <c r="D81" s="27" t="s">
        <v>621</v>
      </c>
      <c r="E81" s="28" t="s">
        <v>622</v>
      </c>
    </row>
    <row r="82" spans="1:5" ht="29.5" x14ac:dyDescent="0.75">
      <c r="A82" s="22">
        <v>6.3</v>
      </c>
      <c r="B82" s="26" t="s">
        <v>616</v>
      </c>
      <c r="C82" s="21" t="s">
        <v>623</v>
      </c>
      <c r="D82" s="27" t="s">
        <v>624</v>
      </c>
      <c r="E82" s="28" t="s">
        <v>625</v>
      </c>
    </row>
    <row r="83" spans="1:5" ht="46.9" customHeight="1" x14ac:dyDescent="0.75">
      <c r="A83" s="22">
        <v>6.4</v>
      </c>
      <c r="B83" s="26" t="s">
        <v>626</v>
      </c>
      <c r="C83" s="21" t="s">
        <v>627</v>
      </c>
      <c r="D83" s="27" t="s">
        <v>628</v>
      </c>
      <c r="E83" s="28" t="s">
        <v>629</v>
      </c>
    </row>
    <row r="84" spans="1:5" ht="41.45" customHeight="1" x14ac:dyDescent="0.75">
      <c r="A84" s="22">
        <v>6.4</v>
      </c>
      <c r="B84" s="26" t="s">
        <v>626</v>
      </c>
      <c r="C84" s="21" t="s">
        <v>630</v>
      </c>
      <c r="D84" s="27" t="s">
        <v>631</v>
      </c>
      <c r="E84" s="28" t="s">
        <v>632</v>
      </c>
    </row>
    <row r="85" spans="1:5" ht="49.9" customHeight="1" x14ac:dyDescent="0.75">
      <c r="A85" s="22">
        <v>6.4</v>
      </c>
      <c r="B85" s="26" t="s">
        <v>626</v>
      </c>
      <c r="C85" s="21" t="s">
        <v>633</v>
      </c>
      <c r="D85" s="27" t="s">
        <v>634</v>
      </c>
      <c r="E85" s="28" t="s">
        <v>635</v>
      </c>
    </row>
    <row r="86" spans="1:5" ht="60.65" customHeight="1" x14ac:dyDescent="0.75">
      <c r="A86" s="22">
        <v>6.4</v>
      </c>
      <c r="B86" s="26" t="s">
        <v>626</v>
      </c>
      <c r="C86" s="21" t="s">
        <v>636</v>
      </c>
      <c r="D86" s="27" t="s">
        <v>637</v>
      </c>
      <c r="E86" s="28" t="s">
        <v>638</v>
      </c>
    </row>
    <row r="87" spans="1:5" ht="22.15" customHeight="1" x14ac:dyDescent="0.75">
      <c r="A87" s="22">
        <v>6.4</v>
      </c>
      <c r="B87" s="26" t="s">
        <v>626</v>
      </c>
      <c r="C87" s="21" t="s">
        <v>639</v>
      </c>
      <c r="D87" s="27" t="s">
        <v>640</v>
      </c>
      <c r="E87" s="28" t="s">
        <v>641</v>
      </c>
    </row>
  </sheetData>
  <mergeCells count="4">
    <mergeCell ref="C2:E6"/>
    <mergeCell ref="C8:E8"/>
    <mergeCell ref="A8:B8"/>
    <mergeCell ref="C7:E7"/>
  </mergeCells>
  <phoneticPr fontId="28" type="noConversion"/>
  <pageMargins left="0.7" right="0.7" top="0.75" bottom="0.75" header="0.3" footer="0.3"/>
  <pageSetup orientation="portrait" verticalDpi="90"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64C70-B079-413D-89D1-4B29D3238ABC}">
  <sheetPr>
    <pageSetUpPr fitToPage="1"/>
  </sheetPr>
  <dimension ref="A1:T652"/>
  <sheetViews>
    <sheetView zoomScale="80" zoomScaleNormal="80" zoomScalePageLayoutView="50" workbookViewId="0">
      <pane xSplit="2" ySplit="6" topLeftCell="C7" activePane="bottomRight" state="frozen"/>
      <selection pane="topRight" activeCell="C1" sqref="C1"/>
      <selection pane="bottomLeft" activeCell="A2" sqref="A2"/>
      <selection pane="bottomRight" activeCell="A7" sqref="A7"/>
    </sheetView>
  </sheetViews>
  <sheetFormatPr defaultColWidth="9.1328125" defaultRowHeight="14.25" x14ac:dyDescent="0.75"/>
  <cols>
    <col min="1" max="1" width="22" style="61" customWidth="1"/>
    <col min="2" max="2" width="34.54296875" style="32" customWidth="1"/>
    <col min="3" max="3" width="28.86328125" style="32" customWidth="1"/>
    <col min="4" max="4" width="23" style="32" customWidth="1"/>
    <col min="5" max="5" width="12.7265625" style="32" customWidth="1"/>
    <col min="6" max="6" width="8.1328125" style="32" customWidth="1"/>
    <col min="7" max="7" width="14.7265625" style="32" customWidth="1"/>
    <col min="8" max="8" width="11.26953125" style="32" customWidth="1"/>
    <col min="9" max="9" width="14.86328125" style="32" customWidth="1"/>
    <col min="10" max="10" width="7.26953125" style="32" customWidth="1"/>
    <col min="11" max="11" width="15.7265625" style="68" customWidth="1"/>
    <col min="12" max="12" width="7.26953125" style="32" customWidth="1"/>
    <col min="13" max="13" width="17.1328125" style="32" customWidth="1"/>
    <col min="14" max="14" width="59.7265625" style="32" customWidth="1"/>
    <col min="15" max="17" width="9.1328125" style="33"/>
    <col min="18" max="16384" width="9.1328125" style="65"/>
  </cols>
  <sheetData>
    <row r="1" spans="1:17" ht="14.9" customHeight="1" x14ac:dyDescent="0.7">
      <c r="A1" s="127"/>
      <c r="B1" s="180"/>
      <c r="C1" s="179" t="s">
        <v>0</v>
      </c>
      <c r="D1" s="181"/>
      <c r="E1" s="181"/>
      <c r="F1" s="181"/>
      <c r="G1" s="181"/>
      <c r="H1" s="181"/>
      <c r="I1" s="181"/>
      <c r="J1" s="181"/>
      <c r="K1" s="181"/>
      <c r="L1" s="181"/>
      <c r="M1" s="126"/>
      <c r="N1" s="126"/>
      <c r="O1" s="126"/>
      <c r="P1" s="126"/>
      <c r="Q1" s="126"/>
    </row>
    <row r="2" spans="1:17" ht="106.5" customHeight="1" x14ac:dyDescent="0.7">
      <c r="A2" s="127"/>
      <c r="B2" s="164"/>
      <c r="C2" s="206" t="s">
        <v>3</v>
      </c>
      <c r="D2" s="230"/>
      <c r="E2" s="230"/>
      <c r="F2" s="230"/>
      <c r="G2" s="230"/>
      <c r="H2" s="230"/>
      <c r="I2" s="230"/>
      <c r="J2" s="230"/>
      <c r="K2" s="230"/>
      <c r="L2" s="230"/>
      <c r="M2" s="126"/>
      <c r="N2" s="126"/>
      <c r="O2" s="126"/>
      <c r="P2" s="126"/>
      <c r="Q2" s="126"/>
    </row>
    <row r="3" spans="1:17" ht="14.75" x14ac:dyDescent="0.75">
      <c r="A3" s="228" t="s">
        <v>642</v>
      </c>
      <c r="B3" s="229"/>
      <c r="C3" s="229"/>
      <c r="D3" s="191"/>
      <c r="E3" s="191"/>
      <c r="F3" s="191"/>
      <c r="G3" s="191"/>
      <c r="H3" s="191"/>
      <c r="I3" s="191"/>
      <c r="J3" s="191"/>
      <c r="K3" s="191"/>
      <c r="L3" s="175"/>
      <c r="M3" s="126"/>
      <c r="N3" s="126"/>
      <c r="O3" s="126"/>
      <c r="P3" s="126"/>
      <c r="Q3" s="126"/>
    </row>
    <row r="4" spans="1:17" ht="14.75" x14ac:dyDescent="0.75">
      <c r="A4" s="128" t="str">
        <f>'Cover Page'!A16</f>
        <v>As of: May 26, 2021</v>
      </c>
      <c r="B4" s="191"/>
      <c r="C4" s="191"/>
      <c r="D4" s="191"/>
      <c r="E4" s="191"/>
      <c r="F4" s="191"/>
      <c r="G4" s="191"/>
      <c r="H4" s="191"/>
      <c r="I4" s="191"/>
      <c r="J4" s="191"/>
      <c r="K4" s="191"/>
      <c r="L4" s="175"/>
      <c r="M4" s="126"/>
      <c r="N4" s="126"/>
      <c r="O4" s="126"/>
      <c r="P4" s="126"/>
      <c r="Q4" s="126"/>
    </row>
    <row r="5" spans="1:17" ht="14.9" customHeight="1" x14ac:dyDescent="0.75">
      <c r="A5" s="128"/>
      <c r="B5" s="191"/>
      <c r="C5" s="191"/>
      <c r="D5" s="191"/>
      <c r="E5" s="191"/>
      <c r="F5" s="191"/>
      <c r="G5" s="191"/>
      <c r="H5" s="191"/>
      <c r="I5" s="191"/>
      <c r="J5" s="191"/>
      <c r="K5" s="191"/>
      <c r="L5" s="175"/>
      <c r="M5" s="126"/>
      <c r="N5" s="126"/>
      <c r="O5" s="126"/>
      <c r="P5" s="126"/>
      <c r="Q5" s="126"/>
    </row>
    <row r="6" spans="1:17" s="81" customFormat="1" ht="58" x14ac:dyDescent="0.75">
      <c r="A6" s="122" t="s">
        <v>643</v>
      </c>
      <c r="B6" s="123" t="s">
        <v>644</v>
      </c>
      <c r="C6" s="123" t="s">
        <v>645</v>
      </c>
      <c r="D6" s="123" t="s">
        <v>646</v>
      </c>
      <c r="E6" s="123" t="s">
        <v>647</v>
      </c>
      <c r="F6" s="123" t="s">
        <v>410</v>
      </c>
      <c r="G6" s="123" t="s">
        <v>411</v>
      </c>
      <c r="H6" s="123" t="s">
        <v>412</v>
      </c>
      <c r="I6" s="123" t="s">
        <v>648</v>
      </c>
      <c r="J6" s="123" t="s">
        <v>649</v>
      </c>
      <c r="K6" s="123" t="s">
        <v>650</v>
      </c>
      <c r="L6" s="123" t="s">
        <v>651</v>
      </c>
      <c r="M6" s="165" t="s">
        <v>652</v>
      </c>
      <c r="N6" s="165" t="s">
        <v>653</v>
      </c>
    </row>
    <row r="7" spans="1:17" ht="57" x14ac:dyDescent="0.75">
      <c r="A7" s="61" t="s">
        <v>654</v>
      </c>
      <c r="B7" s="32" t="s">
        <v>655</v>
      </c>
      <c r="C7" s="32" t="s">
        <v>656</v>
      </c>
      <c r="D7" s="32" t="s">
        <v>657</v>
      </c>
      <c r="E7" s="32" t="s">
        <v>59</v>
      </c>
      <c r="F7" s="32">
        <v>0.1</v>
      </c>
      <c r="G7" s="62" t="s">
        <v>415</v>
      </c>
      <c r="H7" s="62" t="s">
        <v>417</v>
      </c>
      <c r="I7" s="62" t="s">
        <v>418</v>
      </c>
      <c r="J7" s="32">
        <v>2.1</v>
      </c>
      <c r="K7" s="63" t="s">
        <v>658</v>
      </c>
      <c r="L7" s="64" t="s">
        <v>493</v>
      </c>
      <c r="M7" s="62" t="s">
        <v>659</v>
      </c>
      <c r="N7" s="32" t="s">
        <v>660</v>
      </c>
      <c r="O7" s="126"/>
      <c r="P7" s="126"/>
      <c r="Q7" s="126"/>
    </row>
    <row r="8" spans="1:17" ht="57" x14ac:dyDescent="0.75">
      <c r="A8" s="61" t="s">
        <v>661</v>
      </c>
      <c r="B8" s="32" t="s">
        <v>662</v>
      </c>
      <c r="C8" s="32" t="s">
        <v>663</v>
      </c>
      <c r="D8" s="32" t="s">
        <v>657</v>
      </c>
      <c r="E8" s="32" t="s">
        <v>59</v>
      </c>
      <c r="F8" s="32">
        <v>0.1</v>
      </c>
      <c r="G8" s="62" t="s">
        <v>415</v>
      </c>
      <c r="H8" s="62" t="s">
        <v>417</v>
      </c>
      <c r="I8" s="62" t="s">
        <v>418</v>
      </c>
      <c r="J8" s="32">
        <v>3.1</v>
      </c>
      <c r="K8" s="63" t="s">
        <v>664</v>
      </c>
      <c r="L8" s="64" t="s">
        <v>552</v>
      </c>
      <c r="M8" s="62" t="s">
        <v>659</v>
      </c>
      <c r="N8" s="32" t="s">
        <v>660</v>
      </c>
      <c r="O8" s="126"/>
      <c r="P8" s="126"/>
      <c r="Q8" s="126"/>
    </row>
    <row r="9" spans="1:17" ht="71.25" x14ac:dyDescent="0.75">
      <c r="A9" s="61" t="s">
        <v>665</v>
      </c>
      <c r="B9" s="32" t="s">
        <v>666</v>
      </c>
      <c r="C9" s="32" t="s">
        <v>656</v>
      </c>
      <c r="D9" s="32" t="s">
        <v>657</v>
      </c>
      <c r="E9" s="32" t="s">
        <v>59</v>
      </c>
      <c r="F9" s="32">
        <v>0.2</v>
      </c>
      <c r="G9" s="62" t="s">
        <v>435</v>
      </c>
      <c r="H9" s="62" t="s">
        <v>440</v>
      </c>
      <c r="I9" s="62" t="s">
        <v>441</v>
      </c>
      <c r="J9" s="32">
        <v>2.1</v>
      </c>
      <c r="K9" s="63" t="s">
        <v>658</v>
      </c>
      <c r="L9" s="64" t="s">
        <v>493</v>
      </c>
      <c r="M9" s="62" t="s">
        <v>659</v>
      </c>
      <c r="N9" s="32" t="s">
        <v>667</v>
      </c>
      <c r="O9" s="126"/>
      <c r="P9" s="126"/>
      <c r="Q9" s="126"/>
    </row>
    <row r="10" spans="1:17" ht="71.25" x14ac:dyDescent="0.75">
      <c r="A10" s="61" t="s">
        <v>668</v>
      </c>
      <c r="B10" s="32" t="s">
        <v>669</v>
      </c>
      <c r="C10" s="32" t="s">
        <v>663</v>
      </c>
      <c r="D10" s="32" t="s">
        <v>657</v>
      </c>
      <c r="E10" s="32" t="s">
        <v>59</v>
      </c>
      <c r="F10" s="32">
        <v>0.2</v>
      </c>
      <c r="G10" s="62" t="s">
        <v>435</v>
      </c>
      <c r="H10" s="62" t="s">
        <v>440</v>
      </c>
      <c r="I10" s="62" t="s">
        <v>441</v>
      </c>
      <c r="J10" s="32">
        <v>3.1</v>
      </c>
      <c r="K10" s="63" t="s">
        <v>664</v>
      </c>
      <c r="L10" s="64" t="s">
        <v>552</v>
      </c>
      <c r="M10" s="62" t="s">
        <v>659</v>
      </c>
      <c r="N10" s="32" t="s">
        <v>667</v>
      </c>
      <c r="O10" s="126"/>
      <c r="P10" s="126"/>
      <c r="Q10" s="126"/>
    </row>
    <row r="11" spans="1:17" ht="71.25" x14ac:dyDescent="0.75">
      <c r="A11" s="61" t="s">
        <v>670</v>
      </c>
      <c r="B11" s="32" t="s">
        <v>671</v>
      </c>
      <c r="C11" s="32" t="s">
        <v>656</v>
      </c>
      <c r="D11" s="32" t="s">
        <v>657</v>
      </c>
      <c r="E11" s="32" t="s">
        <v>59</v>
      </c>
      <c r="F11" s="32">
        <v>0.2</v>
      </c>
      <c r="G11" s="62" t="s">
        <v>435</v>
      </c>
      <c r="H11" s="62" t="s">
        <v>440</v>
      </c>
      <c r="I11" s="62" t="s">
        <v>441</v>
      </c>
      <c r="J11" s="32">
        <v>2.1</v>
      </c>
      <c r="K11" s="63" t="s">
        <v>658</v>
      </c>
      <c r="L11" s="64" t="s">
        <v>493</v>
      </c>
      <c r="M11" s="62" t="s">
        <v>659</v>
      </c>
      <c r="N11" s="32" t="s">
        <v>667</v>
      </c>
      <c r="O11" s="126"/>
      <c r="P11" s="126"/>
      <c r="Q11" s="126"/>
    </row>
    <row r="12" spans="1:17" ht="71.25" x14ac:dyDescent="0.75">
      <c r="A12" s="61" t="s">
        <v>672</v>
      </c>
      <c r="B12" s="32" t="s">
        <v>673</v>
      </c>
      <c r="C12" s="32" t="s">
        <v>663</v>
      </c>
      <c r="D12" s="32" t="s">
        <v>657</v>
      </c>
      <c r="E12" s="32" t="s">
        <v>59</v>
      </c>
      <c r="F12" s="32">
        <v>0.2</v>
      </c>
      <c r="G12" s="62" t="s">
        <v>435</v>
      </c>
      <c r="H12" s="62" t="s">
        <v>440</v>
      </c>
      <c r="I12" s="62" t="s">
        <v>441</v>
      </c>
      <c r="J12" s="32">
        <v>3.1</v>
      </c>
      <c r="K12" s="63" t="s">
        <v>664</v>
      </c>
      <c r="L12" s="64" t="s">
        <v>552</v>
      </c>
      <c r="M12" s="62" t="s">
        <v>659</v>
      </c>
      <c r="N12" s="32" t="s">
        <v>667</v>
      </c>
      <c r="O12" s="126"/>
      <c r="P12" s="126"/>
      <c r="Q12" s="126"/>
    </row>
    <row r="13" spans="1:17" ht="71.25" x14ac:dyDescent="0.75">
      <c r="A13" s="61" t="s">
        <v>674</v>
      </c>
      <c r="B13" s="32" t="s">
        <v>675</v>
      </c>
      <c r="C13" s="32" t="s">
        <v>663</v>
      </c>
      <c r="D13" s="32" t="s">
        <v>657</v>
      </c>
      <c r="E13" s="32" t="s">
        <v>58</v>
      </c>
      <c r="F13" s="32">
        <v>0.2</v>
      </c>
      <c r="G13" s="62" t="s">
        <v>435</v>
      </c>
      <c r="H13" s="62" t="s">
        <v>440</v>
      </c>
      <c r="I13" s="62" t="s">
        <v>441</v>
      </c>
      <c r="J13" s="32">
        <v>6.1</v>
      </c>
      <c r="K13" s="63" t="s">
        <v>66</v>
      </c>
      <c r="L13" s="64" t="s">
        <v>597</v>
      </c>
      <c r="M13" s="64" t="s">
        <v>676</v>
      </c>
      <c r="N13" s="32" t="s">
        <v>667</v>
      </c>
      <c r="O13" s="126"/>
      <c r="P13" s="126"/>
      <c r="Q13" s="126"/>
    </row>
    <row r="14" spans="1:17" ht="71.25" x14ac:dyDescent="0.75">
      <c r="A14" s="61" t="s">
        <v>677</v>
      </c>
      <c r="B14" s="32" t="s">
        <v>678</v>
      </c>
      <c r="C14" s="32" t="s">
        <v>663</v>
      </c>
      <c r="D14" s="32" t="s">
        <v>657</v>
      </c>
      <c r="E14" s="32" t="s">
        <v>58</v>
      </c>
      <c r="F14" s="32">
        <v>0.2</v>
      </c>
      <c r="G14" s="62" t="s">
        <v>435</v>
      </c>
      <c r="H14" s="62" t="s">
        <v>440</v>
      </c>
      <c r="I14" s="62" t="s">
        <v>441</v>
      </c>
      <c r="J14" s="32">
        <v>6.1</v>
      </c>
      <c r="K14" s="63" t="s">
        <v>66</v>
      </c>
      <c r="L14" s="62" t="s">
        <v>600</v>
      </c>
      <c r="M14" s="62" t="s">
        <v>659</v>
      </c>
      <c r="N14" s="32" t="s">
        <v>667</v>
      </c>
      <c r="O14" s="126"/>
      <c r="P14" s="126"/>
      <c r="Q14" s="126"/>
    </row>
    <row r="15" spans="1:17" ht="57" x14ac:dyDescent="0.75">
      <c r="A15" s="61" t="s">
        <v>679</v>
      </c>
      <c r="B15" s="32" t="s">
        <v>680</v>
      </c>
      <c r="C15" s="32" t="s">
        <v>656</v>
      </c>
      <c r="D15" s="32" t="s">
        <v>657</v>
      </c>
      <c r="E15" s="32" t="s">
        <v>59</v>
      </c>
      <c r="F15" s="32">
        <v>0.2</v>
      </c>
      <c r="G15" s="62" t="s">
        <v>435</v>
      </c>
      <c r="H15" s="62" t="s">
        <v>440</v>
      </c>
      <c r="I15" s="62" t="s">
        <v>441</v>
      </c>
      <c r="J15" s="32">
        <v>2.1</v>
      </c>
      <c r="K15" s="66" t="s">
        <v>658</v>
      </c>
      <c r="L15" s="64" t="s">
        <v>493</v>
      </c>
      <c r="M15" s="62" t="s">
        <v>659</v>
      </c>
      <c r="N15" s="32" t="s">
        <v>681</v>
      </c>
      <c r="O15" s="126"/>
      <c r="P15" s="126"/>
      <c r="Q15" s="126"/>
    </row>
    <row r="16" spans="1:17" ht="57" x14ac:dyDescent="0.75">
      <c r="A16" s="61" t="s">
        <v>682</v>
      </c>
      <c r="B16" s="32" t="s">
        <v>683</v>
      </c>
      <c r="C16" s="32" t="s">
        <v>663</v>
      </c>
      <c r="D16" s="32" t="s">
        <v>657</v>
      </c>
      <c r="E16" s="32" t="s">
        <v>59</v>
      </c>
      <c r="F16" s="32">
        <v>0.2</v>
      </c>
      <c r="G16" s="62" t="s">
        <v>435</v>
      </c>
      <c r="H16" s="62" t="s">
        <v>440</v>
      </c>
      <c r="I16" s="62" t="s">
        <v>441</v>
      </c>
      <c r="J16" s="32">
        <v>3.1</v>
      </c>
      <c r="K16" s="66" t="s">
        <v>664</v>
      </c>
      <c r="L16" s="64" t="s">
        <v>552</v>
      </c>
      <c r="M16" s="62" t="s">
        <v>659</v>
      </c>
      <c r="N16" s="32" t="s">
        <v>681</v>
      </c>
      <c r="O16" s="126"/>
      <c r="P16" s="126"/>
      <c r="Q16" s="126"/>
    </row>
    <row r="17" spans="1:14" ht="57" x14ac:dyDescent="0.75">
      <c r="A17" s="61" t="s">
        <v>684</v>
      </c>
      <c r="B17" s="32" t="s">
        <v>685</v>
      </c>
      <c r="C17" s="32" t="s">
        <v>656</v>
      </c>
      <c r="D17" s="32" t="s">
        <v>657</v>
      </c>
      <c r="E17" s="32" t="s">
        <v>59</v>
      </c>
      <c r="F17" s="32">
        <v>0.2</v>
      </c>
      <c r="G17" s="62" t="s">
        <v>435</v>
      </c>
      <c r="H17" s="62" t="s">
        <v>440</v>
      </c>
      <c r="I17" s="62" t="s">
        <v>441</v>
      </c>
      <c r="J17" s="32">
        <v>2.1</v>
      </c>
      <c r="K17" s="66" t="s">
        <v>658</v>
      </c>
      <c r="L17" s="64" t="s">
        <v>493</v>
      </c>
      <c r="M17" s="62" t="s">
        <v>659</v>
      </c>
      <c r="N17" s="32" t="s">
        <v>681</v>
      </c>
    </row>
    <row r="18" spans="1:14" ht="57" x14ac:dyDescent="0.75">
      <c r="A18" s="61" t="s">
        <v>686</v>
      </c>
      <c r="B18" s="32" t="s">
        <v>687</v>
      </c>
      <c r="C18" s="32" t="s">
        <v>663</v>
      </c>
      <c r="D18" s="32" t="s">
        <v>657</v>
      </c>
      <c r="E18" s="32" t="s">
        <v>59</v>
      </c>
      <c r="F18" s="32">
        <v>0.2</v>
      </c>
      <c r="G18" s="62" t="s">
        <v>435</v>
      </c>
      <c r="H18" s="62" t="s">
        <v>440</v>
      </c>
      <c r="I18" s="62" t="s">
        <v>441</v>
      </c>
      <c r="J18" s="32">
        <v>3.1</v>
      </c>
      <c r="K18" s="66" t="s">
        <v>664</v>
      </c>
      <c r="L18" s="64" t="s">
        <v>552</v>
      </c>
      <c r="M18" s="62" t="s">
        <v>659</v>
      </c>
      <c r="N18" s="32" t="s">
        <v>681</v>
      </c>
    </row>
    <row r="19" spans="1:14" ht="57" x14ac:dyDescent="0.75">
      <c r="A19" s="61" t="s">
        <v>688</v>
      </c>
      <c r="B19" s="32" t="s">
        <v>689</v>
      </c>
      <c r="C19" s="32" t="s">
        <v>663</v>
      </c>
      <c r="D19" s="32" t="s">
        <v>657</v>
      </c>
      <c r="E19" s="32" t="s">
        <v>58</v>
      </c>
      <c r="F19" s="32">
        <v>0.2</v>
      </c>
      <c r="G19" s="62" t="s">
        <v>435</v>
      </c>
      <c r="H19" s="62" t="s">
        <v>440</v>
      </c>
      <c r="I19" s="62" t="s">
        <v>441</v>
      </c>
      <c r="J19" s="32">
        <v>6.1</v>
      </c>
      <c r="K19" s="66" t="s">
        <v>66</v>
      </c>
      <c r="L19" s="64" t="s">
        <v>597</v>
      </c>
      <c r="M19" s="64" t="s">
        <v>676</v>
      </c>
      <c r="N19" s="32" t="s">
        <v>681</v>
      </c>
    </row>
    <row r="20" spans="1:14" ht="57" x14ac:dyDescent="0.75">
      <c r="A20" s="61" t="s">
        <v>690</v>
      </c>
      <c r="B20" s="32" t="s">
        <v>691</v>
      </c>
      <c r="C20" s="32" t="s">
        <v>663</v>
      </c>
      <c r="D20" s="32" t="s">
        <v>657</v>
      </c>
      <c r="E20" s="32" t="s">
        <v>58</v>
      </c>
      <c r="F20" s="32">
        <v>0.2</v>
      </c>
      <c r="G20" s="62" t="s">
        <v>435</v>
      </c>
      <c r="H20" s="62" t="s">
        <v>440</v>
      </c>
      <c r="I20" s="62" t="s">
        <v>441</v>
      </c>
      <c r="J20" s="32">
        <v>6.1</v>
      </c>
      <c r="K20" s="66" t="s">
        <v>66</v>
      </c>
      <c r="L20" s="62" t="s">
        <v>600</v>
      </c>
      <c r="M20" s="62" t="s">
        <v>659</v>
      </c>
      <c r="N20" s="32" t="s">
        <v>681</v>
      </c>
    </row>
    <row r="21" spans="1:14" ht="57" x14ac:dyDescent="0.75">
      <c r="A21" s="61" t="s">
        <v>692</v>
      </c>
      <c r="B21" s="32" t="s">
        <v>693</v>
      </c>
      <c r="C21" s="32" t="s">
        <v>656</v>
      </c>
      <c r="D21" s="32" t="s">
        <v>657</v>
      </c>
      <c r="E21" s="32" t="s">
        <v>60</v>
      </c>
      <c r="F21" s="32">
        <v>0.2</v>
      </c>
      <c r="G21" s="62" t="s">
        <v>435</v>
      </c>
      <c r="H21" s="62" t="s">
        <v>440</v>
      </c>
      <c r="I21" s="62" t="s">
        <v>441</v>
      </c>
      <c r="J21" s="32">
        <v>2.1</v>
      </c>
      <c r="K21" s="63" t="s">
        <v>658</v>
      </c>
      <c r="L21" s="64" t="s">
        <v>493</v>
      </c>
      <c r="M21" s="62" t="s">
        <v>659</v>
      </c>
      <c r="N21" s="32" t="s">
        <v>694</v>
      </c>
    </row>
    <row r="22" spans="1:14" ht="57" x14ac:dyDescent="0.75">
      <c r="A22" s="61" t="s">
        <v>695</v>
      </c>
      <c r="B22" s="32" t="s">
        <v>696</v>
      </c>
      <c r="C22" s="32" t="s">
        <v>663</v>
      </c>
      <c r="D22" s="32" t="s">
        <v>657</v>
      </c>
      <c r="E22" s="32" t="s">
        <v>60</v>
      </c>
      <c r="F22" s="32">
        <v>0.2</v>
      </c>
      <c r="G22" s="62" t="s">
        <v>435</v>
      </c>
      <c r="H22" s="62" t="s">
        <v>440</v>
      </c>
      <c r="I22" s="62" t="s">
        <v>441</v>
      </c>
      <c r="J22" s="32">
        <v>3.1</v>
      </c>
      <c r="K22" s="63" t="s">
        <v>664</v>
      </c>
      <c r="L22" s="64" t="s">
        <v>552</v>
      </c>
      <c r="M22" s="62" t="s">
        <v>659</v>
      </c>
      <c r="N22" s="32" t="s">
        <v>694</v>
      </c>
    </row>
    <row r="23" spans="1:14" ht="28.5" x14ac:dyDescent="0.75">
      <c r="A23" s="61" t="s">
        <v>697</v>
      </c>
      <c r="B23" s="32" t="s">
        <v>698</v>
      </c>
      <c r="C23" s="32" t="s">
        <v>656</v>
      </c>
      <c r="D23" s="32" t="s">
        <v>657</v>
      </c>
      <c r="E23" s="32" t="s">
        <v>59</v>
      </c>
      <c r="F23" s="32">
        <v>0.1</v>
      </c>
      <c r="G23" s="62" t="s">
        <v>415</v>
      </c>
      <c r="H23" s="62" t="s">
        <v>420</v>
      </c>
      <c r="I23" s="62" t="s">
        <v>421</v>
      </c>
      <c r="J23" s="32">
        <v>2.1</v>
      </c>
      <c r="K23" s="63" t="s">
        <v>658</v>
      </c>
      <c r="L23" s="64" t="s">
        <v>493</v>
      </c>
      <c r="M23" s="62" t="s">
        <v>659</v>
      </c>
      <c r="N23" s="32" t="s">
        <v>699</v>
      </c>
    </row>
    <row r="24" spans="1:14" ht="28.5" x14ac:dyDescent="0.75">
      <c r="A24" s="61" t="s">
        <v>700</v>
      </c>
      <c r="B24" s="32" t="s">
        <v>701</v>
      </c>
      <c r="C24" s="32" t="s">
        <v>663</v>
      </c>
      <c r="D24" s="32" t="s">
        <v>657</v>
      </c>
      <c r="E24" s="32" t="s">
        <v>59</v>
      </c>
      <c r="F24" s="32">
        <v>0.1</v>
      </c>
      <c r="G24" s="62" t="s">
        <v>415</v>
      </c>
      <c r="H24" s="62" t="s">
        <v>420</v>
      </c>
      <c r="I24" s="62" t="s">
        <v>421</v>
      </c>
      <c r="J24" s="32">
        <v>3.1</v>
      </c>
      <c r="K24" s="63" t="s">
        <v>664</v>
      </c>
      <c r="L24" s="64" t="s">
        <v>552</v>
      </c>
      <c r="M24" s="62" t="s">
        <v>659</v>
      </c>
      <c r="N24" s="32" t="s">
        <v>699</v>
      </c>
    </row>
    <row r="25" spans="1:14" ht="42.75" x14ac:dyDescent="0.75">
      <c r="A25" s="61" t="s">
        <v>702</v>
      </c>
      <c r="B25" s="32" t="s">
        <v>703</v>
      </c>
      <c r="C25" s="32" t="s">
        <v>656</v>
      </c>
      <c r="D25" s="32" t="s">
        <v>657</v>
      </c>
      <c r="E25" s="32" t="s">
        <v>59</v>
      </c>
      <c r="F25" s="32">
        <v>0.1</v>
      </c>
      <c r="G25" s="62" t="s">
        <v>415</v>
      </c>
      <c r="H25" s="62" t="s">
        <v>420</v>
      </c>
      <c r="I25" s="62" t="s">
        <v>421</v>
      </c>
      <c r="J25" s="32">
        <v>2.1</v>
      </c>
      <c r="K25" s="63" t="s">
        <v>658</v>
      </c>
      <c r="L25" s="64" t="s">
        <v>493</v>
      </c>
      <c r="M25" s="62" t="s">
        <v>659</v>
      </c>
      <c r="N25" s="32" t="s">
        <v>699</v>
      </c>
    </row>
    <row r="26" spans="1:14" ht="28.5" x14ac:dyDescent="0.75">
      <c r="A26" s="61" t="s">
        <v>704</v>
      </c>
      <c r="B26" s="32" t="s">
        <v>705</v>
      </c>
      <c r="C26" s="32" t="s">
        <v>663</v>
      </c>
      <c r="D26" s="32" t="s">
        <v>657</v>
      </c>
      <c r="E26" s="32" t="s">
        <v>59</v>
      </c>
      <c r="F26" s="32">
        <v>0.1</v>
      </c>
      <c r="G26" s="62" t="s">
        <v>415</v>
      </c>
      <c r="H26" s="62" t="s">
        <v>420</v>
      </c>
      <c r="I26" s="62" t="s">
        <v>421</v>
      </c>
      <c r="J26" s="32">
        <v>3.1</v>
      </c>
      <c r="K26" s="63" t="s">
        <v>664</v>
      </c>
      <c r="L26" s="64" t="s">
        <v>552</v>
      </c>
      <c r="M26" s="62" t="s">
        <v>659</v>
      </c>
      <c r="N26" s="32" t="s">
        <v>699</v>
      </c>
    </row>
    <row r="27" spans="1:14" ht="28.5" x14ac:dyDescent="0.75">
      <c r="A27" s="61" t="s">
        <v>706</v>
      </c>
      <c r="B27" s="32" t="s">
        <v>707</v>
      </c>
      <c r="C27" s="32" t="s">
        <v>663</v>
      </c>
      <c r="D27" s="32" t="s">
        <v>657</v>
      </c>
      <c r="E27" s="32" t="s">
        <v>58</v>
      </c>
      <c r="F27" s="32">
        <v>0.1</v>
      </c>
      <c r="G27" s="62" t="s">
        <v>415</v>
      </c>
      <c r="H27" s="62" t="s">
        <v>420</v>
      </c>
      <c r="I27" s="62" t="s">
        <v>421</v>
      </c>
      <c r="J27" s="32">
        <v>6.1</v>
      </c>
      <c r="K27" s="63" t="s">
        <v>66</v>
      </c>
      <c r="L27" s="64" t="s">
        <v>597</v>
      </c>
      <c r="M27" s="64" t="s">
        <v>676</v>
      </c>
      <c r="N27" s="32" t="s">
        <v>699</v>
      </c>
    </row>
    <row r="28" spans="1:14" ht="28.5" x14ac:dyDescent="0.75">
      <c r="A28" s="61" t="s">
        <v>708</v>
      </c>
      <c r="B28" s="32" t="s">
        <v>709</v>
      </c>
      <c r="C28" s="32" t="s">
        <v>663</v>
      </c>
      <c r="D28" s="32" t="s">
        <v>657</v>
      </c>
      <c r="E28" s="32" t="s">
        <v>58</v>
      </c>
      <c r="F28" s="32">
        <v>0.1</v>
      </c>
      <c r="G28" s="62" t="s">
        <v>415</v>
      </c>
      <c r="H28" s="62" t="s">
        <v>420</v>
      </c>
      <c r="I28" s="62" t="s">
        <v>421</v>
      </c>
      <c r="J28" s="32">
        <v>6.1</v>
      </c>
      <c r="K28" s="63" t="s">
        <v>66</v>
      </c>
      <c r="L28" s="62" t="s">
        <v>600</v>
      </c>
      <c r="M28" s="62" t="s">
        <v>659</v>
      </c>
      <c r="N28" s="32" t="s">
        <v>699</v>
      </c>
    </row>
    <row r="29" spans="1:14" ht="42.75" x14ac:dyDescent="0.75">
      <c r="A29" s="61" t="s">
        <v>710</v>
      </c>
      <c r="B29" s="32" t="s">
        <v>711</v>
      </c>
      <c r="C29" s="32" t="s">
        <v>656</v>
      </c>
      <c r="D29" s="32" t="s">
        <v>657</v>
      </c>
      <c r="E29" s="32" t="s">
        <v>59</v>
      </c>
      <c r="F29" s="62">
        <v>0.2</v>
      </c>
      <c r="G29" s="62" t="s">
        <v>435</v>
      </c>
      <c r="H29" s="67" t="s">
        <v>449</v>
      </c>
      <c r="I29" s="67" t="s">
        <v>450</v>
      </c>
      <c r="J29" s="32">
        <v>2.1</v>
      </c>
      <c r="K29" s="63" t="s">
        <v>658</v>
      </c>
      <c r="L29" s="64" t="s">
        <v>493</v>
      </c>
      <c r="M29" s="62" t="s">
        <v>659</v>
      </c>
      <c r="N29" s="32" t="s">
        <v>712</v>
      </c>
    </row>
    <row r="30" spans="1:14" ht="42.75" x14ac:dyDescent="0.75">
      <c r="A30" s="61" t="s">
        <v>713</v>
      </c>
      <c r="B30" s="32" t="s">
        <v>714</v>
      </c>
      <c r="D30" s="32" t="s">
        <v>657</v>
      </c>
      <c r="E30" s="32" t="s">
        <v>59</v>
      </c>
      <c r="F30" s="62">
        <v>0.2</v>
      </c>
      <c r="G30" s="62" t="s">
        <v>435</v>
      </c>
      <c r="H30" s="67" t="s">
        <v>449</v>
      </c>
      <c r="I30" s="67" t="s">
        <v>450</v>
      </c>
      <c r="J30" s="32">
        <v>3.1</v>
      </c>
      <c r="K30" s="63" t="s">
        <v>664</v>
      </c>
      <c r="L30" s="64" t="s">
        <v>552</v>
      </c>
      <c r="M30" s="62" t="s">
        <v>659</v>
      </c>
      <c r="N30" s="32" t="s">
        <v>712</v>
      </c>
    </row>
    <row r="31" spans="1:14" ht="42.75" x14ac:dyDescent="0.75">
      <c r="A31" s="61" t="s">
        <v>715</v>
      </c>
      <c r="B31" s="32" t="s">
        <v>716</v>
      </c>
      <c r="C31" s="32" t="s">
        <v>656</v>
      </c>
      <c r="D31" s="32" t="s">
        <v>657</v>
      </c>
      <c r="E31" s="32" t="s">
        <v>59</v>
      </c>
      <c r="F31" s="62">
        <v>0.2</v>
      </c>
      <c r="G31" s="62" t="s">
        <v>435</v>
      </c>
      <c r="H31" s="67" t="s">
        <v>449</v>
      </c>
      <c r="I31" s="67" t="s">
        <v>450</v>
      </c>
      <c r="J31" s="32">
        <v>2.1</v>
      </c>
      <c r="K31" s="63" t="s">
        <v>658</v>
      </c>
      <c r="L31" s="64" t="s">
        <v>493</v>
      </c>
      <c r="M31" s="62" t="s">
        <v>659</v>
      </c>
      <c r="N31" s="32" t="s">
        <v>712</v>
      </c>
    </row>
    <row r="32" spans="1:14" ht="42.75" x14ac:dyDescent="0.75">
      <c r="A32" s="61" t="s">
        <v>717</v>
      </c>
      <c r="B32" s="32" t="s">
        <v>718</v>
      </c>
      <c r="D32" s="32" t="s">
        <v>657</v>
      </c>
      <c r="E32" s="32" t="s">
        <v>59</v>
      </c>
      <c r="F32" s="62">
        <v>0.2</v>
      </c>
      <c r="G32" s="62" t="s">
        <v>435</v>
      </c>
      <c r="H32" s="67" t="s">
        <v>449</v>
      </c>
      <c r="I32" s="67" t="s">
        <v>450</v>
      </c>
      <c r="J32" s="32">
        <v>3.1</v>
      </c>
      <c r="K32" s="63" t="s">
        <v>664</v>
      </c>
      <c r="L32" s="64" t="s">
        <v>552</v>
      </c>
      <c r="M32" s="62" t="s">
        <v>659</v>
      </c>
      <c r="N32" s="32" t="s">
        <v>712</v>
      </c>
    </row>
    <row r="33" spans="1:14" ht="42.75" x14ac:dyDescent="0.75">
      <c r="A33" s="61" t="s">
        <v>719</v>
      </c>
      <c r="B33" s="32" t="s">
        <v>720</v>
      </c>
      <c r="D33" s="32" t="s">
        <v>657</v>
      </c>
      <c r="E33" s="32" t="s">
        <v>58</v>
      </c>
      <c r="F33" s="62">
        <v>0.2</v>
      </c>
      <c r="G33" s="62" t="s">
        <v>435</v>
      </c>
      <c r="H33" s="67" t="s">
        <v>449</v>
      </c>
      <c r="I33" s="67" t="s">
        <v>450</v>
      </c>
      <c r="J33" s="32">
        <v>6.1</v>
      </c>
      <c r="K33" s="63" t="s">
        <v>66</v>
      </c>
      <c r="L33" s="64" t="s">
        <v>597</v>
      </c>
      <c r="M33" s="64" t="s">
        <v>676</v>
      </c>
      <c r="N33" s="32" t="s">
        <v>712</v>
      </c>
    </row>
    <row r="34" spans="1:14" ht="42.75" x14ac:dyDescent="0.75">
      <c r="A34" s="61" t="s">
        <v>721</v>
      </c>
      <c r="B34" s="32" t="s">
        <v>722</v>
      </c>
      <c r="C34" s="68"/>
      <c r="D34" s="32" t="s">
        <v>657</v>
      </c>
      <c r="E34" s="32" t="s">
        <v>58</v>
      </c>
      <c r="F34" s="62">
        <v>0.2</v>
      </c>
      <c r="G34" s="62" t="s">
        <v>435</v>
      </c>
      <c r="H34" s="67" t="s">
        <v>449</v>
      </c>
      <c r="I34" s="67" t="s">
        <v>450</v>
      </c>
      <c r="J34" s="32">
        <v>6.1</v>
      </c>
      <c r="K34" s="63" t="s">
        <v>66</v>
      </c>
      <c r="L34" s="62" t="s">
        <v>600</v>
      </c>
      <c r="M34" s="62" t="s">
        <v>659</v>
      </c>
      <c r="N34" s="32" t="s">
        <v>712</v>
      </c>
    </row>
    <row r="35" spans="1:14" ht="99.75" x14ac:dyDescent="0.75">
      <c r="A35" s="61" t="s">
        <v>723</v>
      </c>
      <c r="B35" s="32" t="s">
        <v>724</v>
      </c>
      <c r="C35" s="68" t="s">
        <v>725</v>
      </c>
      <c r="D35" s="32" t="s">
        <v>657</v>
      </c>
      <c r="E35" s="32" t="s">
        <v>59</v>
      </c>
      <c r="F35" s="62">
        <v>0.2</v>
      </c>
      <c r="G35" s="62" t="s">
        <v>435</v>
      </c>
      <c r="H35" s="67" t="s">
        <v>449</v>
      </c>
      <c r="I35" s="67" t="s">
        <v>450</v>
      </c>
      <c r="J35" s="32">
        <v>2.1</v>
      </c>
      <c r="K35" s="63" t="s">
        <v>658</v>
      </c>
      <c r="L35" s="64" t="s">
        <v>493</v>
      </c>
      <c r="M35" s="62" t="s">
        <v>659</v>
      </c>
      <c r="N35" s="32" t="s">
        <v>726</v>
      </c>
    </row>
    <row r="36" spans="1:14" ht="85.5" x14ac:dyDescent="0.75">
      <c r="A36" s="61" t="s">
        <v>727</v>
      </c>
      <c r="B36" s="32" t="s">
        <v>728</v>
      </c>
      <c r="C36" s="68" t="s">
        <v>729</v>
      </c>
      <c r="D36" s="32" t="s">
        <v>657</v>
      </c>
      <c r="E36" s="32" t="s">
        <v>59</v>
      </c>
      <c r="F36" s="62">
        <v>0.2</v>
      </c>
      <c r="G36" s="62" t="s">
        <v>435</v>
      </c>
      <c r="H36" s="67" t="s">
        <v>449</v>
      </c>
      <c r="I36" s="67" t="s">
        <v>450</v>
      </c>
      <c r="J36" s="32">
        <v>3.1</v>
      </c>
      <c r="K36" s="63" t="s">
        <v>664</v>
      </c>
      <c r="L36" s="64" t="s">
        <v>552</v>
      </c>
      <c r="M36" s="62" t="s">
        <v>659</v>
      </c>
      <c r="N36" s="32" t="s">
        <v>726</v>
      </c>
    </row>
    <row r="37" spans="1:14" ht="99.75" x14ac:dyDescent="0.75">
      <c r="A37" s="61" t="s">
        <v>730</v>
      </c>
      <c r="B37" s="32" t="s">
        <v>731</v>
      </c>
      <c r="C37" s="68" t="s">
        <v>725</v>
      </c>
      <c r="D37" s="32" t="s">
        <v>657</v>
      </c>
      <c r="E37" s="32" t="s">
        <v>59</v>
      </c>
      <c r="F37" s="62">
        <v>0.2</v>
      </c>
      <c r="G37" s="62" t="s">
        <v>435</v>
      </c>
      <c r="H37" s="67" t="s">
        <v>449</v>
      </c>
      <c r="I37" s="67" t="s">
        <v>450</v>
      </c>
      <c r="J37" s="32">
        <v>2.1</v>
      </c>
      <c r="K37" s="63" t="s">
        <v>658</v>
      </c>
      <c r="L37" s="64" t="s">
        <v>493</v>
      </c>
      <c r="M37" s="62" t="s">
        <v>659</v>
      </c>
      <c r="N37" s="32" t="s">
        <v>726</v>
      </c>
    </row>
    <row r="38" spans="1:14" ht="85.5" x14ac:dyDescent="0.75">
      <c r="A38" s="61" t="s">
        <v>732</v>
      </c>
      <c r="B38" s="32" t="s">
        <v>733</v>
      </c>
      <c r="C38" s="68" t="s">
        <v>729</v>
      </c>
      <c r="D38" s="32" t="s">
        <v>657</v>
      </c>
      <c r="E38" s="32" t="s">
        <v>59</v>
      </c>
      <c r="F38" s="62">
        <v>0.2</v>
      </c>
      <c r="G38" s="62" t="s">
        <v>435</v>
      </c>
      <c r="H38" s="67" t="s">
        <v>449</v>
      </c>
      <c r="I38" s="67" t="s">
        <v>450</v>
      </c>
      <c r="J38" s="32">
        <v>3.1</v>
      </c>
      <c r="K38" s="63" t="s">
        <v>664</v>
      </c>
      <c r="L38" s="64" t="s">
        <v>552</v>
      </c>
      <c r="M38" s="62" t="s">
        <v>659</v>
      </c>
      <c r="N38" s="32" t="s">
        <v>726</v>
      </c>
    </row>
    <row r="39" spans="1:14" ht="85.5" x14ac:dyDescent="0.75">
      <c r="A39" s="61" t="s">
        <v>734</v>
      </c>
      <c r="B39" s="32" t="s">
        <v>735</v>
      </c>
      <c r="C39" s="68" t="s">
        <v>729</v>
      </c>
      <c r="D39" s="32" t="s">
        <v>657</v>
      </c>
      <c r="E39" s="32" t="s">
        <v>58</v>
      </c>
      <c r="F39" s="62">
        <v>0.2</v>
      </c>
      <c r="G39" s="62" t="s">
        <v>435</v>
      </c>
      <c r="H39" s="67" t="s">
        <v>449</v>
      </c>
      <c r="I39" s="67" t="s">
        <v>450</v>
      </c>
      <c r="J39" s="32">
        <v>6.1</v>
      </c>
      <c r="K39" s="63" t="s">
        <v>66</v>
      </c>
      <c r="L39" s="64" t="s">
        <v>597</v>
      </c>
      <c r="M39" s="64" t="s">
        <v>676</v>
      </c>
      <c r="N39" s="32" t="s">
        <v>726</v>
      </c>
    </row>
    <row r="40" spans="1:14" ht="85.5" x14ac:dyDescent="0.75">
      <c r="A40" s="61" t="s">
        <v>736</v>
      </c>
      <c r="B40" s="32" t="s">
        <v>737</v>
      </c>
      <c r="C40" s="68" t="s">
        <v>729</v>
      </c>
      <c r="D40" s="32" t="s">
        <v>657</v>
      </c>
      <c r="E40" s="32" t="s">
        <v>58</v>
      </c>
      <c r="F40" s="62">
        <v>0.2</v>
      </c>
      <c r="G40" s="62" t="s">
        <v>435</v>
      </c>
      <c r="H40" s="67" t="s">
        <v>449</v>
      </c>
      <c r="I40" s="67" t="s">
        <v>450</v>
      </c>
      <c r="J40" s="32">
        <v>6.1</v>
      </c>
      <c r="K40" s="63" t="s">
        <v>66</v>
      </c>
      <c r="L40" s="62" t="s">
        <v>600</v>
      </c>
      <c r="M40" s="62" t="s">
        <v>659</v>
      </c>
      <c r="N40" s="32" t="s">
        <v>726</v>
      </c>
    </row>
    <row r="41" spans="1:14" ht="99.75" x14ac:dyDescent="0.75">
      <c r="A41" s="61" t="s">
        <v>738</v>
      </c>
      <c r="B41" s="32" t="s">
        <v>739</v>
      </c>
      <c r="C41" s="68" t="s">
        <v>725</v>
      </c>
      <c r="D41" s="32" t="s">
        <v>657</v>
      </c>
      <c r="E41" s="32" t="s">
        <v>59</v>
      </c>
      <c r="F41" s="62">
        <v>0.2</v>
      </c>
      <c r="G41" s="62" t="s">
        <v>435</v>
      </c>
      <c r="H41" s="67" t="s">
        <v>449</v>
      </c>
      <c r="I41" s="67" t="s">
        <v>450</v>
      </c>
      <c r="J41" s="32">
        <v>2.1</v>
      </c>
      <c r="K41" s="63" t="s">
        <v>658</v>
      </c>
      <c r="L41" s="64" t="s">
        <v>493</v>
      </c>
      <c r="M41" s="64" t="s">
        <v>659</v>
      </c>
      <c r="N41" s="68" t="s">
        <v>740</v>
      </c>
    </row>
    <row r="42" spans="1:14" ht="42.75" x14ac:dyDescent="0.75">
      <c r="A42" s="61" t="s">
        <v>741</v>
      </c>
      <c r="B42" s="32" t="s">
        <v>742</v>
      </c>
      <c r="C42" s="68" t="s">
        <v>729</v>
      </c>
      <c r="D42" s="32" t="s">
        <v>657</v>
      </c>
      <c r="E42" s="32" t="s">
        <v>59</v>
      </c>
      <c r="F42" s="62">
        <v>0.2</v>
      </c>
      <c r="G42" s="62" t="s">
        <v>435</v>
      </c>
      <c r="H42" s="67" t="s">
        <v>449</v>
      </c>
      <c r="I42" s="67" t="s">
        <v>450</v>
      </c>
      <c r="J42" s="32">
        <v>3.1</v>
      </c>
      <c r="K42" s="63" t="s">
        <v>664</v>
      </c>
      <c r="L42" s="64" t="s">
        <v>552</v>
      </c>
      <c r="M42" s="64" t="s">
        <v>659</v>
      </c>
      <c r="N42" s="68" t="s">
        <v>740</v>
      </c>
    </row>
    <row r="43" spans="1:14" ht="99.75" x14ac:dyDescent="0.75">
      <c r="A43" s="61" t="s">
        <v>743</v>
      </c>
      <c r="B43" s="32" t="s">
        <v>744</v>
      </c>
      <c r="C43" s="68" t="s">
        <v>725</v>
      </c>
      <c r="D43" s="32" t="s">
        <v>657</v>
      </c>
      <c r="E43" s="32" t="s">
        <v>59</v>
      </c>
      <c r="F43" s="62">
        <v>0.2</v>
      </c>
      <c r="G43" s="62" t="s">
        <v>435</v>
      </c>
      <c r="H43" s="67" t="s">
        <v>449</v>
      </c>
      <c r="I43" s="67" t="s">
        <v>450</v>
      </c>
      <c r="J43" s="32">
        <v>2.1</v>
      </c>
      <c r="K43" s="63" t="s">
        <v>658</v>
      </c>
      <c r="L43" s="64" t="s">
        <v>493</v>
      </c>
      <c r="M43" s="64" t="s">
        <v>659</v>
      </c>
      <c r="N43" s="68" t="s">
        <v>740</v>
      </c>
    </row>
    <row r="44" spans="1:14" ht="42.75" x14ac:dyDescent="0.75">
      <c r="A44" s="61" t="s">
        <v>745</v>
      </c>
      <c r="B44" s="32" t="s">
        <v>746</v>
      </c>
      <c r="C44" s="68" t="s">
        <v>729</v>
      </c>
      <c r="D44" s="32" t="s">
        <v>657</v>
      </c>
      <c r="E44" s="32" t="s">
        <v>59</v>
      </c>
      <c r="F44" s="62">
        <v>0.2</v>
      </c>
      <c r="G44" s="62" t="s">
        <v>435</v>
      </c>
      <c r="H44" s="67" t="s">
        <v>449</v>
      </c>
      <c r="I44" s="67" t="s">
        <v>450</v>
      </c>
      <c r="J44" s="32">
        <v>3.1</v>
      </c>
      <c r="K44" s="63" t="s">
        <v>664</v>
      </c>
      <c r="L44" s="64" t="s">
        <v>552</v>
      </c>
      <c r="M44" s="64" t="s">
        <v>659</v>
      </c>
      <c r="N44" s="68" t="s">
        <v>740</v>
      </c>
    </row>
    <row r="45" spans="1:14" ht="42.75" x14ac:dyDescent="0.75">
      <c r="A45" s="61" t="s">
        <v>747</v>
      </c>
      <c r="B45" s="32" t="s">
        <v>748</v>
      </c>
      <c r="C45" s="68" t="s">
        <v>729</v>
      </c>
      <c r="D45" s="32" t="s">
        <v>657</v>
      </c>
      <c r="E45" s="32" t="s">
        <v>58</v>
      </c>
      <c r="F45" s="62">
        <v>0.2</v>
      </c>
      <c r="G45" s="62" t="s">
        <v>435</v>
      </c>
      <c r="H45" s="67" t="s">
        <v>449</v>
      </c>
      <c r="I45" s="67" t="s">
        <v>450</v>
      </c>
      <c r="J45" s="32">
        <v>6.1</v>
      </c>
      <c r="K45" s="63" t="s">
        <v>66</v>
      </c>
      <c r="L45" s="64" t="s">
        <v>597</v>
      </c>
      <c r="M45" s="64" t="s">
        <v>676</v>
      </c>
      <c r="N45" s="68" t="s">
        <v>740</v>
      </c>
    </row>
    <row r="46" spans="1:14" ht="42.75" x14ac:dyDescent="0.75">
      <c r="A46" s="61" t="s">
        <v>749</v>
      </c>
      <c r="B46" s="32" t="s">
        <v>750</v>
      </c>
      <c r="C46" s="68" t="s">
        <v>729</v>
      </c>
      <c r="D46" s="32" t="s">
        <v>657</v>
      </c>
      <c r="E46" s="32" t="s">
        <v>58</v>
      </c>
      <c r="F46" s="62">
        <v>0.2</v>
      </c>
      <c r="G46" s="62" t="s">
        <v>435</v>
      </c>
      <c r="H46" s="67" t="s">
        <v>449</v>
      </c>
      <c r="I46" s="67" t="s">
        <v>450</v>
      </c>
      <c r="J46" s="32">
        <v>6.1</v>
      </c>
      <c r="K46" s="63" t="s">
        <v>66</v>
      </c>
      <c r="L46" s="62" t="s">
        <v>600</v>
      </c>
      <c r="M46" s="62" t="s">
        <v>659</v>
      </c>
      <c r="N46" s="68" t="s">
        <v>740</v>
      </c>
    </row>
    <row r="47" spans="1:14" ht="99.75" x14ac:dyDescent="0.75">
      <c r="A47" s="61" t="s">
        <v>751</v>
      </c>
      <c r="B47" s="32" t="s">
        <v>752</v>
      </c>
      <c r="C47" s="68" t="s">
        <v>725</v>
      </c>
      <c r="D47" s="32" t="s">
        <v>657</v>
      </c>
      <c r="E47" s="32" t="s">
        <v>59</v>
      </c>
      <c r="F47" s="62">
        <v>0.2</v>
      </c>
      <c r="G47" s="62" t="s">
        <v>435</v>
      </c>
      <c r="H47" s="67" t="s">
        <v>449</v>
      </c>
      <c r="I47" s="67" t="s">
        <v>450</v>
      </c>
      <c r="J47" s="32">
        <v>2.1</v>
      </c>
      <c r="K47" s="63" t="s">
        <v>658</v>
      </c>
      <c r="L47" s="64" t="s">
        <v>493</v>
      </c>
      <c r="M47" s="64" t="s">
        <v>659</v>
      </c>
      <c r="N47" s="32" t="s">
        <v>753</v>
      </c>
    </row>
    <row r="48" spans="1:14" ht="99.75" x14ac:dyDescent="0.75">
      <c r="A48" s="61" t="s">
        <v>754</v>
      </c>
      <c r="B48" s="32" t="s">
        <v>755</v>
      </c>
      <c r="C48" s="68" t="s">
        <v>729</v>
      </c>
      <c r="D48" s="32" t="s">
        <v>657</v>
      </c>
      <c r="E48" s="32" t="s">
        <v>59</v>
      </c>
      <c r="F48" s="62">
        <v>0.2</v>
      </c>
      <c r="G48" s="62" t="s">
        <v>435</v>
      </c>
      <c r="H48" s="67" t="s">
        <v>449</v>
      </c>
      <c r="I48" s="67" t="s">
        <v>450</v>
      </c>
      <c r="J48" s="32">
        <v>3.1</v>
      </c>
      <c r="K48" s="63" t="s">
        <v>664</v>
      </c>
      <c r="L48" s="64" t="s">
        <v>552</v>
      </c>
      <c r="M48" s="64" t="s">
        <v>659</v>
      </c>
      <c r="N48" s="32" t="s">
        <v>753</v>
      </c>
    </row>
    <row r="49" spans="1:14" ht="99.75" x14ac:dyDescent="0.75">
      <c r="A49" s="61" t="s">
        <v>756</v>
      </c>
      <c r="B49" s="32" t="s">
        <v>757</v>
      </c>
      <c r="C49" s="68" t="s">
        <v>725</v>
      </c>
      <c r="D49" s="32" t="s">
        <v>657</v>
      </c>
      <c r="E49" s="32" t="s">
        <v>59</v>
      </c>
      <c r="F49" s="62">
        <v>0.2</v>
      </c>
      <c r="G49" s="62" t="s">
        <v>435</v>
      </c>
      <c r="H49" s="67" t="s">
        <v>449</v>
      </c>
      <c r="I49" s="67" t="s">
        <v>450</v>
      </c>
      <c r="J49" s="32">
        <v>2.1</v>
      </c>
      <c r="K49" s="63" t="s">
        <v>658</v>
      </c>
      <c r="L49" s="64" t="s">
        <v>493</v>
      </c>
      <c r="M49" s="64" t="s">
        <v>659</v>
      </c>
      <c r="N49" s="32" t="s">
        <v>753</v>
      </c>
    </row>
    <row r="50" spans="1:14" ht="99.75" x14ac:dyDescent="0.75">
      <c r="A50" s="61" t="s">
        <v>758</v>
      </c>
      <c r="B50" s="32" t="s">
        <v>759</v>
      </c>
      <c r="C50" s="68" t="s">
        <v>729</v>
      </c>
      <c r="D50" s="32" t="s">
        <v>657</v>
      </c>
      <c r="E50" s="32" t="s">
        <v>59</v>
      </c>
      <c r="F50" s="62">
        <v>0.2</v>
      </c>
      <c r="G50" s="62" t="s">
        <v>435</v>
      </c>
      <c r="H50" s="67" t="s">
        <v>449</v>
      </c>
      <c r="I50" s="67" t="s">
        <v>450</v>
      </c>
      <c r="J50" s="32">
        <v>3.1</v>
      </c>
      <c r="K50" s="63" t="s">
        <v>664</v>
      </c>
      <c r="L50" s="64" t="s">
        <v>552</v>
      </c>
      <c r="M50" s="64" t="s">
        <v>659</v>
      </c>
      <c r="N50" s="32" t="s">
        <v>753</v>
      </c>
    </row>
    <row r="51" spans="1:14" ht="99.75" x14ac:dyDescent="0.75">
      <c r="A51" s="61" t="s">
        <v>760</v>
      </c>
      <c r="B51" s="32" t="s">
        <v>761</v>
      </c>
      <c r="C51" s="68" t="s">
        <v>729</v>
      </c>
      <c r="D51" s="32" t="s">
        <v>657</v>
      </c>
      <c r="E51" s="32" t="s">
        <v>58</v>
      </c>
      <c r="F51" s="62">
        <v>0.2</v>
      </c>
      <c r="G51" s="62" t="s">
        <v>435</v>
      </c>
      <c r="H51" s="67" t="s">
        <v>449</v>
      </c>
      <c r="I51" s="67" t="s">
        <v>450</v>
      </c>
      <c r="J51" s="32">
        <v>6.1</v>
      </c>
      <c r="K51" s="63" t="s">
        <v>66</v>
      </c>
      <c r="L51" s="64" t="s">
        <v>597</v>
      </c>
      <c r="M51" s="64" t="s">
        <v>676</v>
      </c>
      <c r="N51" s="32" t="s">
        <v>753</v>
      </c>
    </row>
    <row r="52" spans="1:14" ht="99.75" x14ac:dyDescent="0.75">
      <c r="A52" s="61" t="s">
        <v>762</v>
      </c>
      <c r="B52" s="32" t="s">
        <v>763</v>
      </c>
      <c r="C52" s="68" t="s">
        <v>729</v>
      </c>
      <c r="D52" s="32" t="s">
        <v>657</v>
      </c>
      <c r="E52" s="32" t="s">
        <v>58</v>
      </c>
      <c r="F52" s="62">
        <v>0.2</v>
      </c>
      <c r="G52" s="62" t="s">
        <v>435</v>
      </c>
      <c r="H52" s="67" t="s">
        <v>449</v>
      </c>
      <c r="I52" s="67" t="s">
        <v>450</v>
      </c>
      <c r="J52" s="32">
        <v>6.1</v>
      </c>
      <c r="K52" s="63" t="s">
        <v>66</v>
      </c>
      <c r="L52" s="62" t="s">
        <v>600</v>
      </c>
      <c r="M52" s="62" t="s">
        <v>659</v>
      </c>
      <c r="N52" s="32" t="s">
        <v>753</v>
      </c>
    </row>
    <row r="53" spans="1:14" ht="114" x14ac:dyDescent="0.75">
      <c r="A53" s="61" t="s">
        <v>764</v>
      </c>
      <c r="B53" s="32" t="s">
        <v>765</v>
      </c>
      <c r="C53" s="32" t="s">
        <v>766</v>
      </c>
      <c r="D53" s="32" t="s">
        <v>657</v>
      </c>
      <c r="E53" s="32" t="s">
        <v>59</v>
      </c>
      <c r="F53" s="62">
        <v>0.2</v>
      </c>
      <c r="G53" s="62" t="s">
        <v>435</v>
      </c>
      <c r="H53" s="67" t="s">
        <v>449</v>
      </c>
      <c r="I53" s="67" t="s">
        <v>450</v>
      </c>
      <c r="J53" s="32">
        <v>2.1</v>
      </c>
      <c r="K53" s="63" t="s">
        <v>658</v>
      </c>
      <c r="L53" s="64" t="s">
        <v>493</v>
      </c>
      <c r="M53" s="62" t="s">
        <v>659</v>
      </c>
      <c r="N53" s="32" t="s">
        <v>767</v>
      </c>
    </row>
    <row r="54" spans="1:14" ht="71.25" x14ac:dyDescent="0.75">
      <c r="A54" s="61" t="s">
        <v>768</v>
      </c>
      <c r="B54" s="32" t="s">
        <v>769</v>
      </c>
      <c r="C54" s="32" t="s">
        <v>770</v>
      </c>
      <c r="D54" s="32" t="s">
        <v>657</v>
      </c>
      <c r="E54" s="32" t="s">
        <v>59</v>
      </c>
      <c r="F54" s="62">
        <v>0.2</v>
      </c>
      <c r="G54" s="62" t="s">
        <v>435</v>
      </c>
      <c r="H54" s="67" t="s">
        <v>449</v>
      </c>
      <c r="I54" s="67" t="s">
        <v>450</v>
      </c>
      <c r="J54" s="32">
        <v>3.1</v>
      </c>
      <c r="K54" s="63" t="s">
        <v>664</v>
      </c>
      <c r="L54" s="64" t="s">
        <v>552</v>
      </c>
      <c r="M54" s="62" t="s">
        <v>659</v>
      </c>
      <c r="N54" s="32" t="s">
        <v>767</v>
      </c>
    </row>
    <row r="55" spans="1:14" ht="114" x14ac:dyDescent="0.75">
      <c r="A55" s="61" t="s">
        <v>771</v>
      </c>
      <c r="B55" s="32" t="s">
        <v>772</v>
      </c>
      <c r="C55" s="32" t="s">
        <v>766</v>
      </c>
      <c r="D55" s="32" t="s">
        <v>657</v>
      </c>
      <c r="E55" s="32" t="s">
        <v>59</v>
      </c>
      <c r="F55" s="62">
        <v>0.2</v>
      </c>
      <c r="G55" s="62" t="s">
        <v>435</v>
      </c>
      <c r="H55" s="67" t="s">
        <v>449</v>
      </c>
      <c r="I55" s="67" t="s">
        <v>450</v>
      </c>
      <c r="J55" s="32">
        <v>2.1</v>
      </c>
      <c r="K55" s="63" t="s">
        <v>658</v>
      </c>
      <c r="L55" s="64" t="s">
        <v>493</v>
      </c>
      <c r="M55" s="62" t="s">
        <v>659</v>
      </c>
      <c r="N55" s="32" t="s">
        <v>767</v>
      </c>
    </row>
    <row r="56" spans="1:14" ht="71.25" x14ac:dyDescent="0.75">
      <c r="A56" s="61" t="s">
        <v>773</v>
      </c>
      <c r="B56" s="32" t="s">
        <v>774</v>
      </c>
      <c r="C56" s="32" t="s">
        <v>770</v>
      </c>
      <c r="D56" s="32" t="s">
        <v>657</v>
      </c>
      <c r="E56" s="32" t="s">
        <v>59</v>
      </c>
      <c r="F56" s="62">
        <v>0.2</v>
      </c>
      <c r="G56" s="62" t="s">
        <v>435</v>
      </c>
      <c r="H56" s="67" t="s">
        <v>449</v>
      </c>
      <c r="I56" s="67" t="s">
        <v>450</v>
      </c>
      <c r="J56" s="32">
        <v>3.1</v>
      </c>
      <c r="K56" s="63" t="s">
        <v>664</v>
      </c>
      <c r="L56" s="64" t="s">
        <v>552</v>
      </c>
      <c r="M56" s="62" t="s">
        <v>659</v>
      </c>
      <c r="N56" s="32" t="s">
        <v>767</v>
      </c>
    </row>
    <row r="57" spans="1:14" ht="71.25" x14ac:dyDescent="0.75">
      <c r="A57" s="61" t="s">
        <v>775</v>
      </c>
      <c r="B57" s="32" t="s">
        <v>776</v>
      </c>
      <c r="C57" s="32" t="s">
        <v>770</v>
      </c>
      <c r="D57" s="32" t="s">
        <v>657</v>
      </c>
      <c r="E57" s="32" t="s">
        <v>58</v>
      </c>
      <c r="F57" s="62">
        <v>0.2</v>
      </c>
      <c r="G57" s="62" t="s">
        <v>435</v>
      </c>
      <c r="H57" s="67" t="s">
        <v>449</v>
      </c>
      <c r="I57" s="67" t="s">
        <v>450</v>
      </c>
      <c r="J57" s="32">
        <v>6.1</v>
      </c>
      <c r="K57" s="63" t="s">
        <v>66</v>
      </c>
      <c r="L57" s="64" t="s">
        <v>597</v>
      </c>
      <c r="M57" s="64" t="s">
        <v>676</v>
      </c>
      <c r="N57" s="32" t="s">
        <v>767</v>
      </c>
    </row>
    <row r="58" spans="1:14" ht="71.25" x14ac:dyDescent="0.75">
      <c r="A58" s="61" t="s">
        <v>777</v>
      </c>
      <c r="B58" s="32" t="s">
        <v>778</v>
      </c>
      <c r="C58" s="32" t="s">
        <v>770</v>
      </c>
      <c r="D58" s="32" t="s">
        <v>657</v>
      </c>
      <c r="E58" s="32" t="s">
        <v>58</v>
      </c>
      <c r="F58" s="62">
        <v>0.2</v>
      </c>
      <c r="G58" s="62" t="s">
        <v>435</v>
      </c>
      <c r="H58" s="67" t="s">
        <v>449</v>
      </c>
      <c r="I58" s="67" t="s">
        <v>450</v>
      </c>
      <c r="J58" s="32">
        <v>6.1</v>
      </c>
      <c r="K58" s="63" t="s">
        <v>66</v>
      </c>
      <c r="L58" s="62" t="s">
        <v>600</v>
      </c>
      <c r="M58" s="62" t="s">
        <v>659</v>
      </c>
      <c r="N58" s="32" t="s">
        <v>767</v>
      </c>
    </row>
    <row r="59" spans="1:14" ht="85.5" x14ac:dyDescent="0.75">
      <c r="A59" s="61" t="s">
        <v>779</v>
      </c>
      <c r="B59" s="32" t="s">
        <v>780</v>
      </c>
      <c r="C59" s="32" t="s">
        <v>781</v>
      </c>
      <c r="D59" s="32" t="s">
        <v>657</v>
      </c>
      <c r="E59" s="32" t="s">
        <v>59</v>
      </c>
      <c r="F59" s="62">
        <v>0.2</v>
      </c>
      <c r="G59" s="62" t="s">
        <v>435</v>
      </c>
      <c r="H59" s="67" t="s">
        <v>449</v>
      </c>
      <c r="I59" s="67" t="s">
        <v>450</v>
      </c>
      <c r="J59" s="32">
        <v>2.1</v>
      </c>
      <c r="K59" s="63" t="s">
        <v>658</v>
      </c>
      <c r="L59" s="64" t="s">
        <v>493</v>
      </c>
      <c r="M59" s="64" t="s">
        <v>659</v>
      </c>
      <c r="N59" s="32" t="s">
        <v>782</v>
      </c>
    </row>
    <row r="60" spans="1:14" ht="42.75" x14ac:dyDescent="0.75">
      <c r="A60" s="61" t="s">
        <v>783</v>
      </c>
      <c r="B60" s="32" t="s">
        <v>784</v>
      </c>
      <c r="C60" s="32" t="s">
        <v>785</v>
      </c>
      <c r="D60" s="32" t="s">
        <v>657</v>
      </c>
      <c r="E60" s="32" t="s">
        <v>59</v>
      </c>
      <c r="F60" s="62">
        <v>0.2</v>
      </c>
      <c r="G60" s="62" t="s">
        <v>435</v>
      </c>
      <c r="H60" s="67" t="s">
        <v>449</v>
      </c>
      <c r="I60" s="67" t="s">
        <v>450</v>
      </c>
      <c r="J60" s="32">
        <v>3.1</v>
      </c>
      <c r="K60" s="63" t="s">
        <v>664</v>
      </c>
      <c r="L60" s="64" t="s">
        <v>552</v>
      </c>
      <c r="M60" s="64" t="s">
        <v>659</v>
      </c>
      <c r="N60" s="32" t="s">
        <v>782</v>
      </c>
    </row>
    <row r="61" spans="1:14" ht="42.75" x14ac:dyDescent="0.75">
      <c r="A61" s="61" t="s">
        <v>786</v>
      </c>
      <c r="B61" s="32" t="s">
        <v>787</v>
      </c>
      <c r="C61" s="32" t="s">
        <v>785</v>
      </c>
      <c r="D61" s="32" t="s">
        <v>657</v>
      </c>
      <c r="E61" s="32" t="s">
        <v>58</v>
      </c>
      <c r="F61" s="62">
        <v>0.2</v>
      </c>
      <c r="G61" s="62" t="s">
        <v>435</v>
      </c>
      <c r="H61" s="67" t="s">
        <v>449</v>
      </c>
      <c r="I61" s="67" t="s">
        <v>450</v>
      </c>
      <c r="J61" s="32">
        <v>6.1</v>
      </c>
      <c r="K61" s="63" t="s">
        <v>66</v>
      </c>
      <c r="L61" s="64" t="s">
        <v>597</v>
      </c>
      <c r="M61" s="64" t="s">
        <v>676</v>
      </c>
      <c r="N61" s="32" t="s">
        <v>782</v>
      </c>
    </row>
    <row r="62" spans="1:14" ht="42.75" x14ac:dyDescent="0.75">
      <c r="A62" s="61" t="s">
        <v>788</v>
      </c>
      <c r="B62" s="32" t="s">
        <v>789</v>
      </c>
      <c r="C62" s="32" t="s">
        <v>785</v>
      </c>
      <c r="D62" s="32" t="s">
        <v>657</v>
      </c>
      <c r="E62" s="32" t="s">
        <v>58</v>
      </c>
      <c r="F62" s="62">
        <v>0.2</v>
      </c>
      <c r="G62" s="62" t="s">
        <v>435</v>
      </c>
      <c r="H62" s="67" t="s">
        <v>449</v>
      </c>
      <c r="I62" s="67" t="s">
        <v>450</v>
      </c>
      <c r="J62" s="32">
        <v>6.1</v>
      </c>
      <c r="K62" s="63" t="s">
        <v>66</v>
      </c>
      <c r="L62" s="62" t="s">
        <v>600</v>
      </c>
      <c r="M62" s="62" t="s">
        <v>659</v>
      </c>
      <c r="N62" s="32" t="s">
        <v>782</v>
      </c>
    </row>
    <row r="63" spans="1:14" ht="28.5" x14ac:dyDescent="0.75">
      <c r="A63" s="61" t="s">
        <v>790</v>
      </c>
      <c r="B63" s="32" t="s">
        <v>791</v>
      </c>
      <c r="C63" s="68" t="s">
        <v>656</v>
      </c>
      <c r="D63" s="32" t="s">
        <v>657</v>
      </c>
      <c r="E63" s="32" t="s">
        <v>59</v>
      </c>
      <c r="F63" s="62">
        <v>0.1</v>
      </c>
      <c r="G63" s="62" t="s">
        <v>415</v>
      </c>
      <c r="H63" s="62" t="s">
        <v>423</v>
      </c>
      <c r="I63" s="62" t="s">
        <v>424</v>
      </c>
      <c r="J63" s="32">
        <v>2.1</v>
      </c>
      <c r="K63" s="63" t="s">
        <v>658</v>
      </c>
      <c r="L63" s="64" t="s">
        <v>493</v>
      </c>
      <c r="M63" s="62" t="s">
        <v>659</v>
      </c>
      <c r="N63" s="32" t="s">
        <v>792</v>
      </c>
    </row>
    <row r="64" spans="1:14" ht="28.5" x14ac:dyDescent="0.75">
      <c r="A64" s="61" t="s">
        <v>793</v>
      </c>
      <c r="B64" s="32" t="s">
        <v>794</v>
      </c>
      <c r="C64" s="68"/>
      <c r="D64" s="32" t="s">
        <v>657</v>
      </c>
      <c r="E64" s="32" t="s">
        <v>59</v>
      </c>
      <c r="F64" s="62">
        <v>0.1</v>
      </c>
      <c r="G64" s="62" t="s">
        <v>415</v>
      </c>
      <c r="H64" s="62" t="s">
        <v>423</v>
      </c>
      <c r="I64" s="62" t="s">
        <v>424</v>
      </c>
      <c r="J64" s="32">
        <v>3.1</v>
      </c>
      <c r="K64" s="63" t="s">
        <v>664</v>
      </c>
      <c r="L64" s="64" t="s">
        <v>552</v>
      </c>
      <c r="M64" s="62" t="s">
        <v>659</v>
      </c>
      <c r="N64" s="32" t="s">
        <v>792</v>
      </c>
    </row>
    <row r="65" spans="1:14" ht="28.5" x14ac:dyDescent="0.75">
      <c r="A65" s="61" t="s">
        <v>795</v>
      </c>
      <c r="B65" s="32" t="s">
        <v>796</v>
      </c>
      <c r="C65" s="68"/>
      <c r="D65" s="32" t="s">
        <v>657</v>
      </c>
      <c r="E65" s="32" t="s">
        <v>58</v>
      </c>
      <c r="F65" s="62">
        <v>0.1</v>
      </c>
      <c r="G65" s="62" t="s">
        <v>415</v>
      </c>
      <c r="H65" s="62" t="s">
        <v>423</v>
      </c>
      <c r="I65" s="62" t="s">
        <v>424</v>
      </c>
      <c r="J65" s="32">
        <v>6.1</v>
      </c>
      <c r="K65" s="63" t="s">
        <v>66</v>
      </c>
      <c r="L65" s="64" t="s">
        <v>597</v>
      </c>
      <c r="M65" s="64" t="s">
        <v>676</v>
      </c>
      <c r="N65" s="32" t="s">
        <v>792</v>
      </c>
    </row>
    <row r="66" spans="1:14" ht="28.5" x14ac:dyDescent="0.75">
      <c r="A66" s="61" t="s">
        <v>797</v>
      </c>
      <c r="B66" s="32" t="s">
        <v>798</v>
      </c>
      <c r="C66" s="68"/>
      <c r="D66" s="32" t="s">
        <v>657</v>
      </c>
      <c r="E66" s="32" t="s">
        <v>58</v>
      </c>
      <c r="F66" s="62">
        <v>0.1</v>
      </c>
      <c r="G66" s="62" t="s">
        <v>415</v>
      </c>
      <c r="H66" s="62" t="s">
        <v>423</v>
      </c>
      <c r="I66" s="62" t="s">
        <v>424</v>
      </c>
      <c r="J66" s="32">
        <v>6.1</v>
      </c>
      <c r="K66" s="63" t="s">
        <v>66</v>
      </c>
      <c r="L66" s="62" t="s">
        <v>600</v>
      </c>
      <c r="M66" s="62" t="s">
        <v>659</v>
      </c>
      <c r="N66" s="32" t="s">
        <v>792</v>
      </c>
    </row>
    <row r="67" spans="1:14" ht="42.75" x14ac:dyDescent="0.75">
      <c r="A67" s="61" t="s">
        <v>799</v>
      </c>
      <c r="B67" s="32" t="s">
        <v>800</v>
      </c>
      <c r="C67" s="68" t="s">
        <v>656</v>
      </c>
      <c r="D67" s="32" t="s">
        <v>657</v>
      </c>
      <c r="E67" s="32" t="s">
        <v>59</v>
      </c>
      <c r="F67" s="62">
        <v>0.1</v>
      </c>
      <c r="G67" s="62" t="s">
        <v>415</v>
      </c>
      <c r="H67" s="69" t="s">
        <v>429</v>
      </c>
      <c r="I67" s="69" t="s">
        <v>430</v>
      </c>
      <c r="J67" s="32">
        <v>2.1</v>
      </c>
      <c r="K67" s="63" t="s">
        <v>658</v>
      </c>
      <c r="L67" s="64" t="s">
        <v>493</v>
      </c>
      <c r="M67" s="62" t="s">
        <v>659</v>
      </c>
      <c r="N67" s="68" t="s">
        <v>801</v>
      </c>
    </row>
    <row r="68" spans="1:14" ht="42.75" x14ac:dyDescent="0.75">
      <c r="A68" s="61" t="s">
        <v>802</v>
      </c>
      <c r="B68" s="32" t="s">
        <v>803</v>
      </c>
      <c r="C68" s="32" t="s">
        <v>663</v>
      </c>
      <c r="D68" s="32" t="s">
        <v>657</v>
      </c>
      <c r="E68" s="32" t="s">
        <v>59</v>
      </c>
      <c r="F68" s="62">
        <v>0.1</v>
      </c>
      <c r="G68" s="62" t="s">
        <v>415</v>
      </c>
      <c r="H68" s="69" t="s">
        <v>429</v>
      </c>
      <c r="I68" s="69" t="s">
        <v>430</v>
      </c>
      <c r="J68" s="32">
        <v>3.1</v>
      </c>
      <c r="K68" s="63" t="s">
        <v>664</v>
      </c>
      <c r="L68" s="64" t="s">
        <v>552</v>
      </c>
      <c r="M68" s="62" t="s">
        <v>659</v>
      </c>
      <c r="N68" s="68" t="s">
        <v>801</v>
      </c>
    </row>
    <row r="69" spans="1:14" ht="42.75" x14ac:dyDescent="0.75">
      <c r="A69" s="61" t="s">
        <v>804</v>
      </c>
      <c r="B69" s="32" t="s">
        <v>805</v>
      </c>
      <c r="C69" s="32" t="s">
        <v>663</v>
      </c>
      <c r="D69" s="32" t="s">
        <v>657</v>
      </c>
      <c r="E69" s="32" t="s">
        <v>58</v>
      </c>
      <c r="F69" s="62">
        <v>0.1</v>
      </c>
      <c r="G69" s="62" t="s">
        <v>415</v>
      </c>
      <c r="H69" s="69" t="s">
        <v>429</v>
      </c>
      <c r="I69" s="69" t="s">
        <v>430</v>
      </c>
      <c r="J69" s="32">
        <v>6.1</v>
      </c>
      <c r="K69" s="63" t="s">
        <v>66</v>
      </c>
      <c r="L69" s="64" t="s">
        <v>597</v>
      </c>
      <c r="M69" s="64" t="s">
        <v>676</v>
      </c>
      <c r="N69" s="68" t="s">
        <v>801</v>
      </c>
    </row>
    <row r="70" spans="1:14" ht="42.75" x14ac:dyDescent="0.75">
      <c r="A70" s="61" t="s">
        <v>806</v>
      </c>
      <c r="B70" s="32" t="s">
        <v>807</v>
      </c>
      <c r="C70" s="32" t="s">
        <v>663</v>
      </c>
      <c r="D70" s="32" t="s">
        <v>657</v>
      </c>
      <c r="E70" s="32" t="s">
        <v>58</v>
      </c>
      <c r="F70" s="62">
        <v>0.1</v>
      </c>
      <c r="G70" s="62" t="s">
        <v>415</v>
      </c>
      <c r="H70" s="69" t="s">
        <v>429</v>
      </c>
      <c r="I70" s="69" t="s">
        <v>430</v>
      </c>
      <c r="J70" s="32">
        <v>6.1</v>
      </c>
      <c r="K70" s="63" t="s">
        <v>66</v>
      </c>
      <c r="L70" s="62" t="s">
        <v>600</v>
      </c>
      <c r="M70" s="62" t="s">
        <v>659</v>
      </c>
      <c r="N70" s="68" t="s">
        <v>801</v>
      </c>
    </row>
    <row r="71" spans="1:14" ht="28.5" x14ac:dyDescent="0.75">
      <c r="A71" s="61" t="s">
        <v>808</v>
      </c>
      <c r="B71" s="32" t="s">
        <v>809</v>
      </c>
      <c r="C71" s="68" t="s">
        <v>656</v>
      </c>
      <c r="D71" s="32" t="s">
        <v>657</v>
      </c>
      <c r="E71" s="32" t="s">
        <v>59</v>
      </c>
      <c r="F71" s="62">
        <v>0.1</v>
      </c>
      <c r="G71" s="62" t="s">
        <v>415</v>
      </c>
      <c r="H71" s="62" t="s">
        <v>426</v>
      </c>
      <c r="I71" s="62" t="s">
        <v>427</v>
      </c>
      <c r="J71" s="32">
        <v>2.1</v>
      </c>
      <c r="K71" s="63" t="s">
        <v>658</v>
      </c>
      <c r="L71" s="64" t="s">
        <v>493</v>
      </c>
      <c r="M71" s="62" t="s">
        <v>659</v>
      </c>
      <c r="N71" s="32" t="s">
        <v>810</v>
      </c>
    </row>
    <row r="72" spans="1:14" ht="28.5" x14ac:dyDescent="0.75">
      <c r="A72" s="61" t="s">
        <v>811</v>
      </c>
      <c r="B72" s="32" t="s">
        <v>812</v>
      </c>
      <c r="C72" s="68"/>
      <c r="D72" s="32" t="s">
        <v>657</v>
      </c>
      <c r="E72" s="32" t="s">
        <v>59</v>
      </c>
      <c r="F72" s="62">
        <v>0.1</v>
      </c>
      <c r="G72" s="62" t="s">
        <v>415</v>
      </c>
      <c r="H72" s="62" t="s">
        <v>426</v>
      </c>
      <c r="I72" s="62" t="s">
        <v>427</v>
      </c>
      <c r="J72" s="32">
        <v>3.1</v>
      </c>
      <c r="K72" s="63" t="s">
        <v>664</v>
      </c>
      <c r="L72" s="64" t="s">
        <v>552</v>
      </c>
      <c r="M72" s="62" t="s">
        <v>659</v>
      </c>
      <c r="N72" s="32" t="s">
        <v>810</v>
      </c>
    </row>
    <row r="73" spans="1:14" ht="28.5" x14ac:dyDescent="0.75">
      <c r="A73" s="61" t="s">
        <v>813</v>
      </c>
      <c r="B73" s="32" t="s">
        <v>814</v>
      </c>
      <c r="C73" s="68"/>
      <c r="D73" s="32" t="s">
        <v>657</v>
      </c>
      <c r="E73" s="32" t="s">
        <v>58</v>
      </c>
      <c r="F73" s="62">
        <v>0.1</v>
      </c>
      <c r="G73" s="62" t="s">
        <v>415</v>
      </c>
      <c r="H73" s="62" t="s">
        <v>426</v>
      </c>
      <c r="I73" s="62" t="s">
        <v>427</v>
      </c>
      <c r="J73" s="32">
        <v>6.1</v>
      </c>
      <c r="K73" s="63" t="s">
        <v>66</v>
      </c>
      <c r="L73" s="64" t="s">
        <v>597</v>
      </c>
      <c r="M73" s="64" t="s">
        <v>676</v>
      </c>
      <c r="N73" s="32" t="s">
        <v>810</v>
      </c>
    </row>
    <row r="74" spans="1:14" ht="28.5" x14ac:dyDescent="0.75">
      <c r="A74" s="61" t="s">
        <v>815</v>
      </c>
      <c r="B74" s="32" t="s">
        <v>816</v>
      </c>
      <c r="C74" s="68"/>
      <c r="D74" s="32" t="s">
        <v>657</v>
      </c>
      <c r="E74" s="32" t="s">
        <v>58</v>
      </c>
      <c r="F74" s="62">
        <v>0.1</v>
      </c>
      <c r="G74" s="62" t="s">
        <v>415</v>
      </c>
      <c r="H74" s="62" t="s">
        <v>426</v>
      </c>
      <c r="I74" s="62" t="s">
        <v>427</v>
      </c>
      <c r="J74" s="32">
        <v>6.1</v>
      </c>
      <c r="K74" s="63" t="s">
        <v>66</v>
      </c>
      <c r="L74" s="62" t="s">
        <v>600</v>
      </c>
      <c r="M74" s="62" t="s">
        <v>659</v>
      </c>
      <c r="N74" s="32" t="s">
        <v>810</v>
      </c>
    </row>
    <row r="75" spans="1:14" ht="42.75" x14ac:dyDescent="0.75">
      <c r="A75" s="61" t="s">
        <v>817</v>
      </c>
      <c r="B75" s="32" t="s">
        <v>818</v>
      </c>
      <c r="C75" s="68" t="s">
        <v>656</v>
      </c>
      <c r="D75" s="32" t="s">
        <v>657</v>
      </c>
      <c r="E75" s="32" t="s">
        <v>59</v>
      </c>
      <c r="F75" s="32">
        <v>0.3</v>
      </c>
      <c r="G75" s="64" t="s">
        <v>452</v>
      </c>
      <c r="H75" s="62" t="s">
        <v>454</v>
      </c>
      <c r="I75" s="62" t="s">
        <v>455</v>
      </c>
      <c r="J75" s="32">
        <v>2.1</v>
      </c>
      <c r="K75" s="63" t="s">
        <v>658</v>
      </c>
      <c r="L75" s="64" t="s">
        <v>493</v>
      </c>
      <c r="M75" s="64" t="s">
        <v>659</v>
      </c>
      <c r="N75" s="32" t="s">
        <v>819</v>
      </c>
    </row>
    <row r="76" spans="1:14" ht="42.75" x14ac:dyDescent="0.75">
      <c r="A76" s="61" t="s">
        <v>820</v>
      </c>
      <c r="B76" s="32" t="s">
        <v>821</v>
      </c>
      <c r="C76" s="68"/>
      <c r="D76" s="32" t="s">
        <v>657</v>
      </c>
      <c r="E76" s="32" t="s">
        <v>59</v>
      </c>
      <c r="F76" s="32">
        <v>0.3</v>
      </c>
      <c r="G76" s="64" t="s">
        <v>452</v>
      </c>
      <c r="H76" s="62" t="s">
        <v>454</v>
      </c>
      <c r="I76" s="62" t="s">
        <v>455</v>
      </c>
      <c r="J76" s="32">
        <v>3.1</v>
      </c>
      <c r="K76" s="63" t="s">
        <v>664</v>
      </c>
      <c r="L76" s="64" t="s">
        <v>552</v>
      </c>
      <c r="M76" s="64" t="s">
        <v>659</v>
      </c>
      <c r="N76" s="32" t="s">
        <v>819</v>
      </c>
    </row>
    <row r="77" spans="1:14" ht="28.5" x14ac:dyDescent="0.75">
      <c r="A77" s="61" t="s">
        <v>822</v>
      </c>
      <c r="B77" s="32" t="s">
        <v>823</v>
      </c>
      <c r="C77" s="68" t="s">
        <v>656</v>
      </c>
      <c r="D77" s="32" t="s">
        <v>657</v>
      </c>
      <c r="E77" s="32" t="s">
        <v>59</v>
      </c>
      <c r="F77" s="62">
        <v>0.3</v>
      </c>
      <c r="G77" s="62" t="s">
        <v>452</v>
      </c>
      <c r="H77" s="62" t="s">
        <v>454</v>
      </c>
      <c r="I77" s="62" t="s">
        <v>455</v>
      </c>
      <c r="J77" s="32">
        <v>2.1</v>
      </c>
      <c r="K77" s="63" t="s">
        <v>658</v>
      </c>
      <c r="L77" s="64" t="s">
        <v>493</v>
      </c>
      <c r="M77" s="64" t="s">
        <v>659</v>
      </c>
      <c r="N77" s="32" t="s">
        <v>819</v>
      </c>
    </row>
    <row r="78" spans="1:14" ht="28.5" x14ac:dyDescent="0.75">
      <c r="A78" s="61" t="s">
        <v>824</v>
      </c>
      <c r="B78" s="32" t="s">
        <v>825</v>
      </c>
      <c r="C78" s="68"/>
      <c r="D78" s="32" t="s">
        <v>657</v>
      </c>
      <c r="E78" s="32" t="s">
        <v>59</v>
      </c>
      <c r="F78" s="62">
        <v>0.3</v>
      </c>
      <c r="G78" s="62" t="s">
        <v>452</v>
      </c>
      <c r="H78" s="62" t="s">
        <v>454</v>
      </c>
      <c r="I78" s="62" t="s">
        <v>455</v>
      </c>
      <c r="J78" s="32">
        <v>3.1</v>
      </c>
      <c r="K78" s="63" t="s">
        <v>664</v>
      </c>
      <c r="L78" s="64" t="s">
        <v>552</v>
      </c>
      <c r="M78" s="64" t="s">
        <v>659</v>
      </c>
      <c r="N78" s="32" t="s">
        <v>819</v>
      </c>
    </row>
    <row r="79" spans="1:14" ht="28.5" x14ac:dyDescent="0.75">
      <c r="A79" s="61" t="s">
        <v>826</v>
      </c>
      <c r="B79" s="32" t="s">
        <v>827</v>
      </c>
      <c r="C79" s="68" t="s">
        <v>656</v>
      </c>
      <c r="D79" s="32" t="s">
        <v>657</v>
      </c>
      <c r="E79" s="32" t="s">
        <v>59</v>
      </c>
      <c r="F79" s="32">
        <v>0.3</v>
      </c>
      <c r="G79" s="64" t="s">
        <v>452</v>
      </c>
      <c r="H79" s="62" t="s">
        <v>454</v>
      </c>
      <c r="I79" s="62" t="s">
        <v>455</v>
      </c>
      <c r="J79" s="32">
        <v>2.1</v>
      </c>
      <c r="K79" s="63" t="s">
        <v>658</v>
      </c>
      <c r="L79" s="64" t="s">
        <v>493</v>
      </c>
      <c r="M79" s="64" t="s">
        <v>659</v>
      </c>
      <c r="N79" s="32" t="s">
        <v>819</v>
      </c>
    </row>
    <row r="80" spans="1:14" ht="28.5" x14ac:dyDescent="0.75">
      <c r="A80" s="61" t="s">
        <v>828</v>
      </c>
      <c r="B80" s="32" t="s">
        <v>829</v>
      </c>
      <c r="C80" s="68"/>
      <c r="D80" s="32" t="s">
        <v>657</v>
      </c>
      <c r="E80" s="32" t="s">
        <v>59</v>
      </c>
      <c r="F80" s="32">
        <v>0.3</v>
      </c>
      <c r="G80" s="64" t="s">
        <v>452</v>
      </c>
      <c r="H80" s="62" t="s">
        <v>454</v>
      </c>
      <c r="I80" s="62" t="s">
        <v>455</v>
      </c>
      <c r="J80" s="32">
        <v>3.1</v>
      </c>
      <c r="K80" s="63" t="s">
        <v>664</v>
      </c>
      <c r="L80" s="64" t="s">
        <v>552</v>
      </c>
      <c r="M80" s="64" t="s">
        <v>659</v>
      </c>
      <c r="N80" s="32" t="s">
        <v>819</v>
      </c>
    </row>
    <row r="81" spans="1:14" ht="42.75" x14ac:dyDescent="0.75">
      <c r="A81" s="61" t="s">
        <v>830</v>
      </c>
      <c r="B81" s="32" t="s">
        <v>831</v>
      </c>
      <c r="C81" s="68" t="s">
        <v>656</v>
      </c>
      <c r="D81" s="32" t="s">
        <v>657</v>
      </c>
      <c r="E81" s="32" t="s">
        <v>60</v>
      </c>
      <c r="F81" s="32">
        <v>0.3</v>
      </c>
      <c r="G81" s="64" t="s">
        <v>452</v>
      </c>
      <c r="H81" s="62" t="s">
        <v>454</v>
      </c>
      <c r="I81" s="62" t="s">
        <v>455</v>
      </c>
      <c r="J81" s="32">
        <v>2.1</v>
      </c>
      <c r="K81" s="63" t="s">
        <v>658</v>
      </c>
      <c r="L81" s="64" t="s">
        <v>493</v>
      </c>
      <c r="M81" s="64" t="s">
        <v>659</v>
      </c>
      <c r="N81" s="32" t="s">
        <v>819</v>
      </c>
    </row>
    <row r="82" spans="1:14" ht="28.5" x14ac:dyDescent="0.75">
      <c r="A82" s="61" t="s">
        <v>832</v>
      </c>
      <c r="B82" s="32" t="s">
        <v>833</v>
      </c>
      <c r="C82" s="32" t="s">
        <v>663</v>
      </c>
      <c r="D82" s="32" t="s">
        <v>657</v>
      </c>
      <c r="E82" s="32" t="s">
        <v>60</v>
      </c>
      <c r="F82" s="32">
        <v>0.3</v>
      </c>
      <c r="G82" s="64" t="s">
        <v>452</v>
      </c>
      <c r="H82" s="62" t="s">
        <v>454</v>
      </c>
      <c r="I82" s="62" t="s">
        <v>455</v>
      </c>
      <c r="J82" s="32">
        <v>3.1</v>
      </c>
      <c r="K82" s="63" t="s">
        <v>664</v>
      </c>
      <c r="L82" s="64" t="s">
        <v>552</v>
      </c>
      <c r="M82" s="64" t="s">
        <v>659</v>
      </c>
      <c r="N82" s="32" t="s">
        <v>819</v>
      </c>
    </row>
    <row r="83" spans="1:14" ht="114" x14ac:dyDescent="0.75">
      <c r="A83" s="61" t="s">
        <v>834</v>
      </c>
      <c r="B83" s="32" t="s">
        <v>835</v>
      </c>
      <c r="C83" s="32" t="s">
        <v>836</v>
      </c>
      <c r="D83" s="32" t="s">
        <v>657</v>
      </c>
      <c r="E83" s="32" t="s">
        <v>59</v>
      </c>
      <c r="F83" s="32">
        <v>0.3</v>
      </c>
      <c r="G83" s="64" t="s">
        <v>452</v>
      </c>
      <c r="H83" s="62" t="s">
        <v>454</v>
      </c>
      <c r="I83" s="62" t="s">
        <v>455</v>
      </c>
      <c r="J83" s="32">
        <v>2.1</v>
      </c>
      <c r="K83" s="63" t="s">
        <v>658</v>
      </c>
      <c r="L83" s="64" t="s">
        <v>493</v>
      </c>
      <c r="M83" s="64" t="s">
        <v>659</v>
      </c>
      <c r="N83" s="32" t="s">
        <v>819</v>
      </c>
    </row>
    <row r="84" spans="1:14" ht="71.25" x14ac:dyDescent="0.75">
      <c r="A84" s="61" t="s">
        <v>837</v>
      </c>
      <c r="B84" s="32" t="s">
        <v>838</v>
      </c>
      <c r="C84" s="32" t="s">
        <v>839</v>
      </c>
      <c r="D84" s="32" t="s">
        <v>657</v>
      </c>
      <c r="E84" s="32" t="s">
        <v>59</v>
      </c>
      <c r="F84" s="32">
        <v>0.3</v>
      </c>
      <c r="G84" s="64" t="s">
        <v>452</v>
      </c>
      <c r="H84" s="62" t="s">
        <v>454</v>
      </c>
      <c r="I84" s="62" t="s">
        <v>455</v>
      </c>
      <c r="J84" s="32">
        <v>3.1</v>
      </c>
      <c r="K84" s="63" t="s">
        <v>664</v>
      </c>
      <c r="L84" s="64" t="s">
        <v>552</v>
      </c>
      <c r="M84" s="64" t="s">
        <v>659</v>
      </c>
      <c r="N84" s="32" t="s">
        <v>819</v>
      </c>
    </row>
    <row r="85" spans="1:14" ht="199.5" x14ac:dyDescent="0.75">
      <c r="A85" s="61" t="s">
        <v>840</v>
      </c>
      <c r="B85" s="32" t="s">
        <v>841</v>
      </c>
      <c r="C85" s="32" t="s">
        <v>842</v>
      </c>
      <c r="D85" s="32" t="s">
        <v>657</v>
      </c>
      <c r="E85" s="32" t="s">
        <v>59</v>
      </c>
      <c r="F85" s="62">
        <v>0.3</v>
      </c>
      <c r="G85" s="62" t="s">
        <v>452</v>
      </c>
      <c r="H85" s="62" t="s">
        <v>454</v>
      </c>
      <c r="I85" s="62" t="s">
        <v>455</v>
      </c>
      <c r="J85" s="32">
        <v>2.1</v>
      </c>
      <c r="K85" s="63" t="s">
        <v>658</v>
      </c>
      <c r="L85" s="64" t="s">
        <v>493</v>
      </c>
      <c r="M85" s="64" t="s">
        <v>659</v>
      </c>
      <c r="N85" s="32" t="s">
        <v>819</v>
      </c>
    </row>
    <row r="86" spans="1:14" ht="156.75" x14ac:dyDescent="0.75">
      <c r="A86" s="61" t="s">
        <v>843</v>
      </c>
      <c r="B86" s="32" t="s">
        <v>844</v>
      </c>
      <c r="C86" s="32" t="s">
        <v>845</v>
      </c>
      <c r="D86" s="32" t="s">
        <v>657</v>
      </c>
      <c r="E86" s="32" t="s">
        <v>59</v>
      </c>
      <c r="F86" s="62">
        <v>0.3</v>
      </c>
      <c r="G86" s="62" t="s">
        <v>452</v>
      </c>
      <c r="H86" s="62" t="s">
        <v>454</v>
      </c>
      <c r="I86" s="62" t="s">
        <v>455</v>
      </c>
      <c r="J86" s="32">
        <v>3.1</v>
      </c>
      <c r="K86" s="63" t="s">
        <v>664</v>
      </c>
      <c r="L86" s="64" t="s">
        <v>552</v>
      </c>
      <c r="M86" s="64" t="s">
        <v>659</v>
      </c>
      <c r="N86" s="32" t="s">
        <v>819</v>
      </c>
    </row>
    <row r="87" spans="1:14" ht="28.5" x14ac:dyDescent="0.75">
      <c r="A87" s="61" t="s">
        <v>846</v>
      </c>
      <c r="B87" s="32" t="s">
        <v>847</v>
      </c>
      <c r="C87" s="68" t="s">
        <v>656</v>
      </c>
      <c r="D87" s="32" t="s">
        <v>657</v>
      </c>
      <c r="E87" s="32" t="s">
        <v>59</v>
      </c>
      <c r="F87" s="62">
        <v>0.3</v>
      </c>
      <c r="G87" s="62" t="s">
        <v>452</v>
      </c>
      <c r="H87" s="62" t="s">
        <v>457</v>
      </c>
      <c r="I87" s="62" t="s">
        <v>458</v>
      </c>
      <c r="J87" s="32">
        <v>2.1</v>
      </c>
      <c r="K87" s="63" t="s">
        <v>658</v>
      </c>
      <c r="L87" s="64" t="s">
        <v>493</v>
      </c>
      <c r="M87" s="64" t="s">
        <v>659</v>
      </c>
      <c r="N87" s="32" t="s">
        <v>819</v>
      </c>
    </row>
    <row r="88" spans="1:14" ht="28.5" x14ac:dyDescent="0.75">
      <c r="A88" s="61" t="s">
        <v>848</v>
      </c>
      <c r="B88" s="32" t="s">
        <v>849</v>
      </c>
      <c r="C88" s="32" t="s">
        <v>663</v>
      </c>
      <c r="D88" s="32" t="s">
        <v>657</v>
      </c>
      <c r="E88" s="32" t="s">
        <v>59</v>
      </c>
      <c r="F88" s="62">
        <v>0.3</v>
      </c>
      <c r="G88" s="62" t="s">
        <v>452</v>
      </c>
      <c r="H88" s="62" t="s">
        <v>457</v>
      </c>
      <c r="I88" s="62" t="s">
        <v>458</v>
      </c>
      <c r="J88" s="32">
        <v>3.1</v>
      </c>
      <c r="K88" s="63" t="s">
        <v>664</v>
      </c>
      <c r="L88" s="64" t="s">
        <v>552</v>
      </c>
      <c r="M88" s="64" t="s">
        <v>659</v>
      </c>
      <c r="N88" s="32" t="s">
        <v>819</v>
      </c>
    </row>
    <row r="89" spans="1:14" ht="28.5" x14ac:dyDescent="0.75">
      <c r="A89" s="61" t="s">
        <v>850</v>
      </c>
      <c r="B89" s="32" t="s">
        <v>851</v>
      </c>
      <c r="C89" s="68" t="s">
        <v>656</v>
      </c>
      <c r="D89" s="32" t="s">
        <v>657</v>
      </c>
      <c r="E89" s="32" t="s">
        <v>59</v>
      </c>
      <c r="F89" s="62">
        <v>0.3</v>
      </c>
      <c r="G89" s="62" t="s">
        <v>452</v>
      </c>
      <c r="H89" s="62" t="s">
        <v>457</v>
      </c>
      <c r="I89" s="62" t="s">
        <v>458</v>
      </c>
      <c r="J89" s="32">
        <v>2.1</v>
      </c>
      <c r="K89" s="63" t="s">
        <v>658</v>
      </c>
      <c r="L89" s="64" t="s">
        <v>493</v>
      </c>
      <c r="M89" s="64" t="s">
        <v>659</v>
      </c>
      <c r="N89" s="32" t="s">
        <v>819</v>
      </c>
    </row>
    <row r="90" spans="1:14" ht="28.5" x14ac:dyDescent="0.75">
      <c r="A90" s="61" t="s">
        <v>852</v>
      </c>
      <c r="B90" s="32" t="s">
        <v>853</v>
      </c>
      <c r="C90" s="32" t="s">
        <v>663</v>
      </c>
      <c r="D90" s="32" t="s">
        <v>657</v>
      </c>
      <c r="E90" s="32" t="s">
        <v>59</v>
      </c>
      <c r="F90" s="62">
        <v>0.3</v>
      </c>
      <c r="G90" s="62" t="s">
        <v>452</v>
      </c>
      <c r="H90" s="62" t="s">
        <v>457</v>
      </c>
      <c r="I90" s="62" t="s">
        <v>458</v>
      </c>
      <c r="J90" s="32">
        <v>3.1</v>
      </c>
      <c r="K90" s="63" t="s">
        <v>664</v>
      </c>
      <c r="L90" s="64" t="s">
        <v>552</v>
      </c>
      <c r="M90" s="64" t="s">
        <v>659</v>
      </c>
      <c r="N90" s="32" t="s">
        <v>819</v>
      </c>
    </row>
    <row r="91" spans="1:14" ht="28.5" x14ac:dyDescent="0.75">
      <c r="A91" s="61" t="s">
        <v>854</v>
      </c>
      <c r="B91" s="32" t="s">
        <v>855</v>
      </c>
      <c r="C91" s="68" t="s">
        <v>656</v>
      </c>
      <c r="D91" s="32" t="s">
        <v>657</v>
      </c>
      <c r="E91" s="32" t="s">
        <v>59</v>
      </c>
      <c r="F91" s="62">
        <v>0.3</v>
      </c>
      <c r="G91" s="62" t="s">
        <v>452</v>
      </c>
      <c r="H91" s="62" t="s">
        <v>454</v>
      </c>
      <c r="I91" s="62" t="s">
        <v>455</v>
      </c>
      <c r="J91" s="32">
        <v>2.1</v>
      </c>
      <c r="K91" s="63" t="s">
        <v>658</v>
      </c>
      <c r="L91" s="64" t="s">
        <v>493</v>
      </c>
      <c r="M91" s="64" t="s">
        <v>659</v>
      </c>
      <c r="N91" s="32" t="s">
        <v>819</v>
      </c>
    </row>
    <row r="92" spans="1:14" ht="28.5" x14ac:dyDescent="0.75">
      <c r="A92" s="61" t="s">
        <v>856</v>
      </c>
      <c r="B92" s="32" t="s">
        <v>857</v>
      </c>
      <c r="C92" s="32" t="s">
        <v>663</v>
      </c>
      <c r="D92" s="32" t="s">
        <v>657</v>
      </c>
      <c r="E92" s="32" t="s">
        <v>59</v>
      </c>
      <c r="F92" s="62">
        <v>0.3</v>
      </c>
      <c r="G92" s="62" t="s">
        <v>452</v>
      </c>
      <c r="H92" s="62" t="s">
        <v>454</v>
      </c>
      <c r="I92" s="62" t="s">
        <v>455</v>
      </c>
      <c r="J92" s="32">
        <v>3.1</v>
      </c>
      <c r="K92" s="63" t="s">
        <v>664</v>
      </c>
      <c r="L92" s="64" t="s">
        <v>552</v>
      </c>
      <c r="M92" s="64" t="s">
        <v>659</v>
      </c>
      <c r="N92" s="32" t="s">
        <v>819</v>
      </c>
    </row>
    <row r="93" spans="1:14" ht="28.5" x14ac:dyDescent="0.75">
      <c r="A93" s="61" t="s">
        <v>858</v>
      </c>
      <c r="B93" s="32" t="s">
        <v>859</v>
      </c>
      <c r="C93" s="68" t="s">
        <v>656</v>
      </c>
      <c r="D93" s="32" t="s">
        <v>657</v>
      </c>
      <c r="E93" s="32" t="s">
        <v>59</v>
      </c>
      <c r="F93" s="62">
        <v>0.3</v>
      </c>
      <c r="G93" s="62" t="s">
        <v>452</v>
      </c>
      <c r="H93" s="62" t="s">
        <v>457</v>
      </c>
      <c r="I93" s="62" t="s">
        <v>458</v>
      </c>
      <c r="J93" s="32">
        <v>2.1</v>
      </c>
      <c r="K93" s="63" t="s">
        <v>658</v>
      </c>
      <c r="L93" s="64" t="s">
        <v>493</v>
      </c>
      <c r="M93" s="64" t="s">
        <v>659</v>
      </c>
      <c r="N93" s="32" t="s">
        <v>819</v>
      </c>
    </row>
    <row r="94" spans="1:14" ht="28.5" x14ac:dyDescent="0.75">
      <c r="A94" s="61" t="s">
        <v>860</v>
      </c>
      <c r="B94" s="32" t="s">
        <v>861</v>
      </c>
      <c r="C94" s="32" t="s">
        <v>663</v>
      </c>
      <c r="D94" s="32" t="s">
        <v>657</v>
      </c>
      <c r="E94" s="32" t="s">
        <v>59</v>
      </c>
      <c r="F94" s="62">
        <v>0.3</v>
      </c>
      <c r="G94" s="62" t="s">
        <v>452</v>
      </c>
      <c r="H94" s="62" t="s">
        <v>457</v>
      </c>
      <c r="I94" s="62" t="s">
        <v>458</v>
      </c>
      <c r="J94" s="32">
        <v>3.1</v>
      </c>
      <c r="K94" s="63" t="s">
        <v>664</v>
      </c>
      <c r="L94" s="64" t="s">
        <v>552</v>
      </c>
      <c r="M94" s="64" t="s">
        <v>659</v>
      </c>
      <c r="N94" s="32" t="s">
        <v>819</v>
      </c>
    </row>
    <row r="95" spans="1:14" ht="28.5" x14ac:dyDescent="0.75">
      <c r="A95" s="61" t="s">
        <v>862</v>
      </c>
      <c r="B95" s="32" t="s">
        <v>863</v>
      </c>
      <c r="C95" s="32" t="s">
        <v>663</v>
      </c>
      <c r="D95" s="32" t="s">
        <v>657</v>
      </c>
      <c r="E95" s="32" t="s">
        <v>58</v>
      </c>
      <c r="F95" s="62">
        <v>0.3</v>
      </c>
      <c r="G95" s="62" t="s">
        <v>452</v>
      </c>
      <c r="H95" s="62" t="s">
        <v>457</v>
      </c>
      <c r="I95" s="62" t="s">
        <v>458</v>
      </c>
      <c r="J95" s="32">
        <v>6.1</v>
      </c>
      <c r="K95" s="63" t="s">
        <v>66</v>
      </c>
      <c r="L95" s="64" t="s">
        <v>597</v>
      </c>
      <c r="M95" s="64" t="s">
        <v>676</v>
      </c>
      <c r="N95" s="32" t="s">
        <v>819</v>
      </c>
    </row>
    <row r="96" spans="1:14" ht="28.5" x14ac:dyDescent="0.75">
      <c r="A96" s="61" t="s">
        <v>864</v>
      </c>
      <c r="B96" s="32" t="s">
        <v>865</v>
      </c>
      <c r="C96" s="32" t="s">
        <v>663</v>
      </c>
      <c r="D96" s="32" t="s">
        <v>657</v>
      </c>
      <c r="E96" s="32" t="s">
        <v>58</v>
      </c>
      <c r="F96" s="62">
        <v>0.3</v>
      </c>
      <c r="G96" s="62" t="s">
        <v>452</v>
      </c>
      <c r="H96" s="62" t="s">
        <v>457</v>
      </c>
      <c r="I96" s="62" t="s">
        <v>458</v>
      </c>
      <c r="J96" s="32">
        <v>6.1</v>
      </c>
      <c r="K96" s="63" t="s">
        <v>66</v>
      </c>
      <c r="L96" s="62" t="s">
        <v>600</v>
      </c>
      <c r="M96" s="62" t="s">
        <v>659</v>
      </c>
      <c r="N96" s="32" t="s">
        <v>819</v>
      </c>
    </row>
    <row r="97" spans="1:17" ht="42.75" x14ac:dyDescent="0.75">
      <c r="A97" s="61" t="s">
        <v>866</v>
      </c>
      <c r="B97" s="32" t="s">
        <v>867</v>
      </c>
      <c r="C97" s="68" t="s">
        <v>656</v>
      </c>
      <c r="D97" s="32" t="s">
        <v>657</v>
      </c>
      <c r="E97" s="32" t="s">
        <v>59</v>
      </c>
      <c r="F97" s="62">
        <v>0.3</v>
      </c>
      <c r="G97" s="62" t="s">
        <v>452</v>
      </c>
      <c r="H97" s="62" t="s">
        <v>457</v>
      </c>
      <c r="I97" s="62" t="s">
        <v>458</v>
      </c>
      <c r="J97" s="32">
        <v>2.1</v>
      </c>
      <c r="K97" s="63" t="s">
        <v>658</v>
      </c>
      <c r="L97" s="64" t="s">
        <v>493</v>
      </c>
      <c r="M97" s="64" t="s">
        <v>659</v>
      </c>
      <c r="N97" s="32" t="s">
        <v>819</v>
      </c>
      <c r="O97" s="126"/>
      <c r="P97" s="126"/>
      <c r="Q97" s="126"/>
    </row>
    <row r="98" spans="1:17" ht="28.5" x14ac:dyDescent="0.75">
      <c r="A98" s="61" t="s">
        <v>868</v>
      </c>
      <c r="B98" s="32" t="s">
        <v>869</v>
      </c>
      <c r="C98" s="32" t="s">
        <v>663</v>
      </c>
      <c r="D98" s="32" t="s">
        <v>657</v>
      </c>
      <c r="E98" s="32" t="s">
        <v>59</v>
      </c>
      <c r="F98" s="62">
        <v>0.3</v>
      </c>
      <c r="G98" s="62" t="s">
        <v>452</v>
      </c>
      <c r="H98" s="62" t="s">
        <v>457</v>
      </c>
      <c r="I98" s="62" t="s">
        <v>458</v>
      </c>
      <c r="J98" s="32">
        <v>3.1</v>
      </c>
      <c r="K98" s="63" t="s">
        <v>664</v>
      </c>
      <c r="L98" s="64" t="s">
        <v>552</v>
      </c>
      <c r="M98" s="64" t="s">
        <v>659</v>
      </c>
      <c r="N98" s="32" t="s">
        <v>819</v>
      </c>
      <c r="O98" s="126"/>
      <c r="P98" s="126"/>
      <c r="Q98" s="126"/>
    </row>
    <row r="99" spans="1:17" ht="28.5" x14ac:dyDescent="0.75">
      <c r="A99" s="61" t="s">
        <v>870</v>
      </c>
      <c r="B99" s="32" t="s">
        <v>871</v>
      </c>
      <c r="C99" s="32" t="s">
        <v>663</v>
      </c>
      <c r="D99" s="32" t="s">
        <v>657</v>
      </c>
      <c r="E99" s="32" t="s">
        <v>58</v>
      </c>
      <c r="F99" s="62">
        <v>0.3</v>
      </c>
      <c r="G99" s="62" t="s">
        <v>452</v>
      </c>
      <c r="H99" s="62" t="s">
        <v>457</v>
      </c>
      <c r="I99" s="62" t="s">
        <v>458</v>
      </c>
      <c r="J99" s="32">
        <v>6.1</v>
      </c>
      <c r="K99" s="63" t="s">
        <v>66</v>
      </c>
      <c r="L99" s="64" t="s">
        <v>597</v>
      </c>
      <c r="M99" s="64" t="s">
        <v>676</v>
      </c>
      <c r="N99" s="32" t="s">
        <v>819</v>
      </c>
      <c r="O99" s="126"/>
      <c r="P99" s="126"/>
      <c r="Q99" s="126"/>
    </row>
    <row r="100" spans="1:17" ht="28.5" x14ac:dyDescent="0.75">
      <c r="A100" s="61" t="s">
        <v>872</v>
      </c>
      <c r="B100" s="32" t="s">
        <v>873</v>
      </c>
      <c r="C100" s="32" t="s">
        <v>663</v>
      </c>
      <c r="D100" s="32" t="s">
        <v>657</v>
      </c>
      <c r="E100" s="32" t="s">
        <v>58</v>
      </c>
      <c r="F100" s="62">
        <v>0.3</v>
      </c>
      <c r="G100" s="62" t="s">
        <v>452</v>
      </c>
      <c r="H100" s="62" t="s">
        <v>457</v>
      </c>
      <c r="I100" s="62" t="s">
        <v>458</v>
      </c>
      <c r="J100" s="32">
        <v>6.1</v>
      </c>
      <c r="K100" s="63" t="s">
        <v>66</v>
      </c>
      <c r="L100" s="62" t="s">
        <v>600</v>
      </c>
      <c r="M100" s="62" t="s">
        <v>659</v>
      </c>
      <c r="N100" s="32" t="s">
        <v>819</v>
      </c>
      <c r="O100" s="126"/>
      <c r="P100" s="126"/>
      <c r="Q100" s="126"/>
    </row>
    <row r="101" spans="1:17" ht="42.75" x14ac:dyDescent="0.75">
      <c r="A101" s="61" t="s">
        <v>858</v>
      </c>
      <c r="B101" s="32" t="s">
        <v>874</v>
      </c>
      <c r="C101" s="68" t="s">
        <v>656</v>
      </c>
      <c r="D101" s="32" t="s">
        <v>657</v>
      </c>
      <c r="E101" s="32" t="s">
        <v>59</v>
      </c>
      <c r="F101" s="62">
        <v>0.3</v>
      </c>
      <c r="G101" s="62" t="s">
        <v>452</v>
      </c>
      <c r="H101" s="62" t="s">
        <v>454</v>
      </c>
      <c r="I101" s="62" t="s">
        <v>455</v>
      </c>
      <c r="J101" s="32">
        <v>2.1</v>
      </c>
      <c r="K101" s="63" t="s">
        <v>658</v>
      </c>
      <c r="L101" s="64" t="s">
        <v>493</v>
      </c>
      <c r="M101" s="64" t="s">
        <v>659</v>
      </c>
      <c r="N101" s="32" t="s">
        <v>819</v>
      </c>
      <c r="O101" s="126"/>
      <c r="P101" s="126"/>
      <c r="Q101" s="126"/>
    </row>
    <row r="102" spans="1:17" ht="42.75" x14ac:dyDescent="0.75">
      <c r="A102" s="61" t="s">
        <v>860</v>
      </c>
      <c r="B102" s="32" t="s">
        <v>875</v>
      </c>
      <c r="C102" s="32" t="s">
        <v>663</v>
      </c>
      <c r="D102" s="32" t="s">
        <v>657</v>
      </c>
      <c r="E102" s="32" t="s">
        <v>59</v>
      </c>
      <c r="F102" s="62">
        <v>0.3</v>
      </c>
      <c r="G102" s="62" t="s">
        <v>452</v>
      </c>
      <c r="H102" s="62" t="s">
        <v>454</v>
      </c>
      <c r="I102" s="62" t="s">
        <v>455</v>
      </c>
      <c r="J102" s="32">
        <v>3.1</v>
      </c>
      <c r="K102" s="63" t="s">
        <v>664</v>
      </c>
      <c r="L102" s="64" t="s">
        <v>552</v>
      </c>
      <c r="M102" s="64" t="s">
        <v>659</v>
      </c>
      <c r="N102" s="32" t="s">
        <v>819</v>
      </c>
      <c r="O102" s="126"/>
      <c r="P102" s="126"/>
      <c r="Q102" s="126"/>
    </row>
    <row r="103" spans="1:17" ht="28.5" x14ac:dyDescent="0.75">
      <c r="A103" s="61" t="s">
        <v>862</v>
      </c>
      <c r="B103" s="32" t="s">
        <v>876</v>
      </c>
      <c r="C103" s="32" t="s">
        <v>663</v>
      </c>
      <c r="D103" s="32" t="s">
        <v>657</v>
      </c>
      <c r="E103" s="32" t="s">
        <v>58</v>
      </c>
      <c r="F103" s="62">
        <v>0.3</v>
      </c>
      <c r="G103" s="62" t="s">
        <v>452</v>
      </c>
      <c r="H103" s="62" t="s">
        <v>454</v>
      </c>
      <c r="I103" s="62" t="s">
        <v>455</v>
      </c>
      <c r="J103" s="32">
        <v>6.1</v>
      </c>
      <c r="K103" s="63" t="s">
        <v>66</v>
      </c>
      <c r="L103" s="64" t="s">
        <v>597</v>
      </c>
      <c r="M103" s="64" t="s">
        <v>676</v>
      </c>
      <c r="N103" s="32" t="s">
        <v>819</v>
      </c>
      <c r="O103" s="126"/>
      <c r="P103" s="126"/>
      <c r="Q103" s="126"/>
    </row>
    <row r="104" spans="1:17" ht="28.5" x14ac:dyDescent="0.75">
      <c r="A104" s="61" t="s">
        <v>864</v>
      </c>
      <c r="B104" s="32" t="s">
        <v>877</v>
      </c>
      <c r="C104" s="32" t="s">
        <v>663</v>
      </c>
      <c r="D104" s="32" t="s">
        <v>657</v>
      </c>
      <c r="E104" s="32" t="s">
        <v>58</v>
      </c>
      <c r="F104" s="62">
        <v>0.3</v>
      </c>
      <c r="G104" s="62" t="s">
        <v>452</v>
      </c>
      <c r="H104" s="62" t="s">
        <v>454</v>
      </c>
      <c r="I104" s="62" t="s">
        <v>455</v>
      </c>
      <c r="J104" s="32">
        <v>6.1</v>
      </c>
      <c r="K104" s="63" t="s">
        <v>66</v>
      </c>
      <c r="L104" s="62" t="s">
        <v>600</v>
      </c>
      <c r="M104" s="62" t="s">
        <v>659</v>
      </c>
      <c r="N104" s="32" t="s">
        <v>819</v>
      </c>
      <c r="O104" s="126"/>
      <c r="P104" s="126"/>
      <c r="Q104" s="126"/>
    </row>
    <row r="105" spans="1:17" ht="28.5" x14ac:dyDescent="0.75">
      <c r="A105" s="61" t="s">
        <v>878</v>
      </c>
      <c r="B105" s="32" t="s">
        <v>879</v>
      </c>
      <c r="C105" s="68" t="s">
        <v>656</v>
      </c>
      <c r="D105" s="32" t="s">
        <v>657</v>
      </c>
      <c r="E105" s="32" t="s">
        <v>59</v>
      </c>
      <c r="F105" s="32">
        <v>0.3</v>
      </c>
      <c r="G105" s="64" t="s">
        <v>452</v>
      </c>
      <c r="H105" s="62" t="s">
        <v>460</v>
      </c>
      <c r="I105" s="62" t="s">
        <v>461</v>
      </c>
      <c r="J105" s="32">
        <v>2.1</v>
      </c>
      <c r="K105" s="63" t="s">
        <v>658</v>
      </c>
      <c r="L105" s="64" t="s">
        <v>493</v>
      </c>
      <c r="M105" s="64" t="s">
        <v>659</v>
      </c>
      <c r="N105" s="32" t="s">
        <v>880</v>
      </c>
      <c r="O105" s="126"/>
      <c r="P105" s="126"/>
      <c r="Q105" s="126"/>
    </row>
    <row r="106" spans="1:17" ht="28.5" x14ac:dyDescent="0.75">
      <c r="A106" s="61" t="s">
        <v>881</v>
      </c>
      <c r="B106" s="32" t="s">
        <v>882</v>
      </c>
      <c r="C106" s="32" t="s">
        <v>663</v>
      </c>
      <c r="D106" s="32" t="s">
        <v>657</v>
      </c>
      <c r="E106" s="32" t="s">
        <v>59</v>
      </c>
      <c r="F106" s="32">
        <v>0.3</v>
      </c>
      <c r="G106" s="64" t="s">
        <v>452</v>
      </c>
      <c r="H106" s="62" t="s">
        <v>460</v>
      </c>
      <c r="I106" s="62" t="s">
        <v>461</v>
      </c>
      <c r="J106" s="32">
        <v>3.1</v>
      </c>
      <c r="K106" s="63" t="s">
        <v>664</v>
      </c>
      <c r="L106" s="64" t="s">
        <v>552</v>
      </c>
      <c r="M106" s="64" t="s">
        <v>659</v>
      </c>
      <c r="N106" s="32" t="s">
        <v>880</v>
      </c>
      <c r="O106" s="126"/>
      <c r="P106" s="126"/>
      <c r="Q106" s="126"/>
    </row>
    <row r="107" spans="1:17" ht="42.75" x14ac:dyDescent="0.75">
      <c r="A107" s="61" t="s">
        <v>883</v>
      </c>
      <c r="B107" s="32" t="s">
        <v>884</v>
      </c>
      <c r="C107" s="68" t="s">
        <v>656</v>
      </c>
      <c r="D107" s="32" t="s">
        <v>657</v>
      </c>
      <c r="E107" s="32" t="s">
        <v>59</v>
      </c>
      <c r="F107" s="70">
        <v>6.3</v>
      </c>
      <c r="G107" s="70" t="s">
        <v>616</v>
      </c>
      <c r="H107" s="70" t="s">
        <v>623</v>
      </c>
      <c r="I107" s="70" t="s">
        <v>885</v>
      </c>
      <c r="J107" s="32">
        <v>2.1</v>
      </c>
      <c r="K107" s="63" t="s">
        <v>658</v>
      </c>
      <c r="L107" s="64" t="s">
        <v>493</v>
      </c>
      <c r="M107" s="64" t="s">
        <v>659</v>
      </c>
      <c r="N107" s="32" t="s">
        <v>880</v>
      </c>
      <c r="O107" s="65"/>
      <c r="P107" s="65"/>
      <c r="Q107" s="65"/>
    </row>
    <row r="108" spans="1:17" ht="42.75" x14ac:dyDescent="0.75">
      <c r="A108" s="61" t="s">
        <v>886</v>
      </c>
      <c r="B108" s="32" t="s">
        <v>887</v>
      </c>
      <c r="C108" s="32" t="s">
        <v>663</v>
      </c>
      <c r="D108" s="32" t="s">
        <v>657</v>
      </c>
      <c r="E108" s="32" t="s">
        <v>59</v>
      </c>
      <c r="F108" s="70">
        <v>6.3</v>
      </c>
      <c r="G108" s="70" t="s">
        <v>616</v>
      </c>
      <c r="H108" s="70" t="s">
        <v>623</v>
      </c>
      <c r="I108" s="70" t="s">
        <v>885</v>
      </c>
      <c r="J108" s="32">
        <v>3.1</v>
      </c>
      <c r="K108" s="63" t="s">
        <v>664</v>
      </c>
      <c r="L108" s="64" t="s">
        <v>552</v>
      </c>
      <c r="M108" s="64" t="s">
        <v>659</v>
      </c>
      <c r="N108" s="32" t="s">
        <v>880</v>
      </c>
      <c r="O108" s="65"/>
      <c r="P108" s="65"/>
      <c r="Q108" s="65"/>
    </row>
    <row r="109" spans="1:17" ht="28.5" x14ac:dyDescent="0.75">
      <c r="A109" s="61" t="s">
        <v>888</v>
      </c>
      <c r="B109" s="32" t="s">
        <v>889</v>
      </c>
      <c r="C109" s="68" t="s">
        <v>656</v>
      </c>
      <c r="D109" s="32" t="s">
        <v>657</v>
      </c>
      <c r="E109" s="32" t="s">
        <v>59</v>
      </c>
      <c r="F109" s="62">
        <v>0.3</v>
      </c>
      <c r="G109" s="62" t="s">
        <v>452</v>
      </c>
      <c r="H109" s="70" t="s">
        <v>890</v>
      </c>
      <c r="I109" s="70" t="s">
        <v>464</v>
      </c>
      <c r="J109" s="32">
        <v>2.1</v>
      </c>
      <c r="K109" s="63" t="s">
        <v>658</v>
      </c>
      <c r="L109" s="64" t="s">
        <v>493</v>
      </c>
      <c r="M109" s="62" t="s">
        <v>659</v>
      </c>
      <c r="N109" s="32" t="s">
        <v>819</v>
      </c>
      <c r="O109" s="126"/>
      <c r="P109" s="126"/>
      <c r="Q109" s="126"/>
    </row>
    <row r="110" spans="1:17" ht="28.5" x14ac:dyDescent="0.75">
      <c r="A110" s="61" t="s">
        <v>891</v>
      </c>
      <c r="B110" s="32" t="s">
        <v>892</v>
      </c>
      <c r="C110" s="32" t="s">
        <v>663</v>
      </c>
      <c r="D110" s="32" t="s">
        <v>657</v>
      </c>
      <c r="E110" s="32" t="s">
        <v>59</v>
      </c>
      <c r="F110" s="62">
        <v>0.3</v>
      </c>
      <c r="G110" s="62" t="s">
        <v>452</v>
      </c>
      <c r="H110" s="70" t="s">
        <v>890</v>
      </c>
      <c r="I110" s="70" t="s">
        <v>464</v>
      </c>
      <c r="J110" s="32">
        <v>3.1</v>
      </c>
      <c r="K110" s="63" t="s">
        <v>664</v>
      </c>
      <c r="L110" s="64" t="s">
        <v>552</v>
      </c>
      <c r="M110" s="62" t="s">
        <v>659</v>
      </c>
      <c r="N110" s="32" t="s">
        <v>819</v>
      </c>
      <c r="O110" s="126"/>
      <c r="P110" s="126"/>
      <c r="Q110" s="126"/>
    </row>
    <row r="111" spans="1:17" ht="28.5" x14ac:dyDescent="0.75">
      <c r="A111" s="61" t="s">
        <v>893</v>
      </c>
      <c r="B111" s="32" t="s">
        <v>894</v>
      </c>
      <c r="C111" s="68" t="s">
        <v>656</v>
      </c>
      <c r="D111" s="32" t="s">
        <v>657</v>
      </c>
      <c r="E111" s="32" t="s">
        <v>59</v>
      </c>
      <c r="F111" s="62">
        <v>0.3</v>
      </c>
      <c r="G111" s="62" t="s">
        <v>452</v>
      </c>
      <c r="H111" s="70" t="s">
        <v>890</v>
      </c>
      <c r="I111" s="70" t="s">
        <v>464</v>
      </c>
      <c r="J111" s="32">
        <v>2.1</v>
      </c>
      <c r="K111" s="63" t="s">
        <v>658</v>
      </c>
      <c r="L111" s="64" t="s">
        <v>493</v>
      </c>
      <c r="M111" s="62" t="s">
        <v>659</v>
      </c>
      <c r="N111" s="32" t="s">
        <v>819</v>
      </c>
      <c r="O111" s="126"/>
      <c r="P111" s="126"/>
      <c r="Q111" s="126"/>
    </row>
    <row r="112" spans="1:17" ht="28.5" x14ac:dyDescent="0.75">
      <c r="A112" s="61" t="s">
        <v>895</v>
      </c>
      <c r="B112" s="32" t="s">
        <v>896</v>
      </c>
      <c r="C112" s="32" t="s">
        <v>663</v>
      </c>
      <c r="D112" s="32" t="s">
        <v>657</v>
      </c>
      <c r="E112" s="32" t="s">
        <v>59</v>
      </c>
      <c r="F112" s="62">
        <v>0.3</v>
      </c>
      <c r="G112" s="62" t="s">
        <v>452</v>
      </c>
      <c r="H112" s="70" t="s">
        <v>890</v>
      </c>
      <c r="I112" s="70" t="s">
        <v>464</v>
      </c>
      <c r="J112" s="32">
        <v>3.1</v>
      </c>
      <c r="K112" s="63" t="s">
        <v>664</v>
      </c>
      <c r="L112" s="64" t="s">
        <v>552</v>
      </c>
      <c r="M112" s="62" t="s">
        <v>659</v>
      </c>
      <c r="N112" s="32" t="s">
        <v>819</v>
      </c>
      <c r="O112" s="126"/>
      <c r="P112" s="126"/>
      <c r="Q112" s="126"/>
    </row>
    <row r="113" spans="1:17" ht="28.5" x14ac:dyDescent="0.75">
      <c r="A113" s="61" t="s">
        <v>897</v>
      </c>
      <c r="B113" s="32" t="s">
        <v>898</v>
      </c>
      <c r="C113" s="32" t="s">
        <v>663</v>
      </c>
      <c r="D113" s="32" t="s">
        <v>657</v>
      </c>
      <c r="E113" s="32" t="s">
        <v>58</v>
      </c>
      <c r="F113" s="62">
        <v>0.3</v>
      </c>
      <c r="G113" s="62" t="s">
        <v>452</v>
      </c>
      <c r="H113" s="70" t="s">
        <v>890</v>
      </c>
      <c r="I113" s="70" t="s">
        <v>464</v>
      </c>
      <c r="J113" s="32">
        <v>6.1</v>
      </c>
      <c r="K113" s="63" t="s">
        <v>66</v>
      </c>
      <c r="L113" s="64" t="s">
        <v>597</v>
      </c>
      <c r="M113" s="64" t="s">
        <v>676</v>
      </c>
      <c r="N113" s="32" t="s">
        <v>819</v>
      </c>
      <c r="O113" s="126"/>
      <c r="P113" s="126"/>
      <c r="Q113" s="126"/>
    </row>
    <row r="114" spans="1:17" ht="28.5" x14ac:dyDescent="0.75">
      <c r="A114" s="61" t="s">
        <v>899</v>
      </c>
      <c r="B114" s="32" t="s">
        <v>900</v>
      </c>
      <c r="C114" s="32" t="s">
        <v>663</v>
      </c>
      <c r="D114" s="32" t="s">
        <v>657</v>
      </c>
      <c r="E114" s="32" t="s">
        <v>58</v>
      </c>
      <c r="F114" s="62">
        <v>0.3</v>
      </c>
      <c r="G114" s="62" t="s">
        <v>452</v>
      </c>
      <c r="H114" s="70" t="s">
        <v>890</v>
      </c>
      <c r="I114" s="70" t="s">
        <v>464</v>
      </c>
      <c r="J114" s="32">
        <v>6.1</v>
      </c>
      <c r="K114" s="63" t="s">
        <v>66</v>
      </c>
      <c r="L114" s="62" t="s">
        <v>600</v>
      </c>
      <c r="M114" s="62" t="s">
        <v>659</v>
      </c>
      <c r="N114" s="32" t="s">
        <v>819</v>
      </c>
      <c r="O114" s="126"/>
      <c r="P114" s="126"/>
      <c r="Q114" s="126"/>
    </row>
    <row r="115" spans="1:17" ht="128.25" x14ac:dyDescent="0.75">
      <c r="A115" s="61" t="s">
        <v>901</v>
      </c>
      <c r="B115" s="32" t="s">
        <v>902</v>
      </c>
      <c r="C115" s="32" t="s">
        <v>903</v>
      </c>
      <c r="D115" s="32" t="s">
        <v>657</v>
      </c>
      <c r="E115" s="32" t="s">
        <v>59</v>
      </c>
      <c r="F115" s="32">
        <v>4.0999999999999996</v>
      </c>
      <c r="G115" s="64" t="s">
        <v>567</v>
      </c>
      <c r="H115" s="62" t="s">
        <v>575</v>
      </c>
      <c r="I115" s="62" t="s">
        <v>576</v>
      </c>
      <c r="J115" s="32">
        <v>2.1</v>
      </c>
      <c r="K115" s="63" t="s">
        <v>658</v>
      </c>
      <c r="L115" s="64" t="s">
        <v>493</v>
      </c>
      <c r="M115" s="64" t="s">
        <v>659</v>
      </c>
      <c r="N115" s="32" t="s">
        <v>782</v>
      </c>
      <c r="O115" s="126"/>
      <c r="P115" s="126"/>
      <c r="Q115" s="126"/>
    </row>
    <row r="116" spans="1:17" ht="85.5" x14ac:dyDescent="0.75">
      <c r="A116" s="61" t="s">
        <v>904</v>
      </c>
      <c r="B116" s="32" t="s">
        <v>905</v>
      </c>
      <c r="C116" s="32" t="s">
        <v>906</v>
      </c>
      <c r="D116" s="32" t="s">
        <v>657</v>
      </c>
      <c r="E116" s="32" t="s">
        <v>59</v>
      </c>
      <c r="F116" s="32">
        <v>4.0999999999999996</v>
      </c>
      <c r="G116" s="64" t="s">
        <v>567</v>
      </c>
      <c r="H116" s="62" t="s">
        <v>575</v>
      </c>
      <c r="I116" s="62" t="s">
        <v>576</v>
      </c>
      <c r="J116" s="32">
        <v>3.1</v>
      </c>
      <c r="K116" s="63" t="s">
        <v>664</v>
      </c>
      <c r="L116" s="64" t="s">
        <v>552</v>
      </c>
      <c r="M116" s="64" t="s">
        <v>659</v>
      </c>
      <c r="N116" s="32" t="s">
        <v>782</v>
      </c>
      <c r="O116" s="126"/>
      <c r="P116" s="126"/>
      <c r="Q116" s="126"/>
    </row>
    <row r="117" spans="1:17" ht="128.25" x14ac:dyDescent="0.75">
      <c r="A117" s="61" t="s">
        <v>907</v>
      </c>
      <c r="B117" s="32" t="s">
        <v>908</v>
      </c>
      <c r="C117" s="32" t="s">
        <v>903</v>
      </c>
      <c r="D117" s="32" t="s">
        <v>657</v>
      </c>
      <c r="E117" s="32" t="s">
        <v>59</v>
      </c>
      <c r="F117" s="32">
        <v>4.0999999999999996</v>
      </c>
      <c r="G117" s="64" t="s">
        <v>567</v>
      </c>
      <c r="H117" s="62" t="s">
        <v>575</v>
      </c>
      <c r="I117" s="62" t="s">
        <v>576</v>
      </c>
      <c r="J117" s="32">
        <v>2.1</v>
      </c>
      <c r="K117" s="63" t="s">
        <v>658</v>
      </c>
      <c r="L117" s="64" t="s">
        <v>493</v>
      </c>
      <c r="M117" s="64" t="s">
        <v>659</v>
      </c>
      <c r="N117" s="32" t="s">
        <v>782</v>
      </c>
      <c r="O117" s="126"/>
      <c r="P117" s="126"/>
      <c r="Q117" s="126"/>
    </row>
    <row r="118" spans="1:17" ht="85.5" x14ac:dyDescent="0.75">
      <c r="A118" s="61" t="s">
        <v>909</v>
      </c>
      <c r="B118" s="32" t="s">
        <v>910</v>
      </c>
      <c r="C118" s="32" t="s">
        <v>906</v>
      </c>
      <c r="D118" s="32" t="s">
        <v>657</v>
      </c>
      <c r="E118" s="32" t="s">
        <v>59</v>
      </c>
      <c r="F118" s="32">
        <v>4.0999999999999996</v>
      </c>
      <c r="G118" s="64" t="s">
        <v>567</v>
      </c>
      <c r="H118" s="62" t="s">
        <v>575</v>
      </c>
      <c r="I118" s="62" t="s">
        <v>576</v>
      </c>
      <c r="J118" s="32">
        <v>3.1</v>
      </c>
      <c r="K118" s="63" t="s">
        <v>664</v>
      </c>
      <c r="L118" s="64" t="s">
        <v>552</v>
      </c>
      <c r="M118" s="64" t="s">
        <v>659</v>
      </c>
      <c r="N118" s="32" t="s">
        <v>782</v>
      </c>
      <c r="O118" s="126"/>
      <c r="P118" s="126"/>
      <c r="Q118" s="126"/>
    </row>
    <row r="119" spans="1:17" ht="128.25" x14ac:dyDescent="0.75">
      <c r="A119" s="61" t="s">
        <v>911</v>
      </c>
      <c r="B119" s="32" t="s">
        <v>912</v>
      </c>
      <c r="C119" s="32" t="s">
        <v>903</v>
      </c>
      <c r="D119" s="32" t="s">
        <v>657</v>
      </c>
      <c r="E119" s="32" t="s">
        <v>59</v>
      </c>
      <c r="F119" s="32">
        <v>4.0999999999999996</v>
      </c>
      <c r="G119" s="64" t="s">
        <v>567</v>
      </c>
      <c r="H119" s="62" t="s">
        <v>575</v>
      </c>
      <c r="I119" s="62" t="s">
        <v>576</v>
      </c>
      <c r="J119" s="32">
        <v>2.1</v>
      </c>
      <c r="K119" s="63" t="s">
        <v>658</v>
      </c>
      <c r="L119" s="64" t="s">
        <v>493</v>
      </c>
      <c r="M119" s="64" t="s">
        <v>659</v>
      </c>
      <c r="N119" s="32" t="s">
        <v>782</v>
      </c>
      <c r="O119" s="126"/>
      <c r="P119" s="126"/>
      <c r="Q119" s="126"/>
    </row>
    <row r="120" spans="1:17" ht="85.5" x14ac:dyDescent="0.75">
      <c r="A120" s="61" t="s">
        <v>913</v>
      </c>
      <c r="B120" s="32" t="s">
        <v>914</v>
      </c>
      <c r="C120" s="32" t="s">
        <v>906</v>
      </c>
      <c r="D120" s="32" t="s">
        <v>657</v>
      </c>
      <c r="E120" s="32" t="s">
        <v>59</v>
      </c>
      <c r="F120" s="32">
        <v>4.0999999999999996</v>
      </c>
      <c r="G120" s="64" t="s">
        <v>567</v>
      </c>
      <c r="H120" s="62" t="s">
        <v>575</v>
      </c>
      <c r="I120" s="62" t="s">
        <v>576</v>
      </c>
      <c r="J120" s="32">
        <v>3.1</v>
      </c>
      <c r="K120" s="63" t="s">
        <v>664</v>
      </c>
      <c r="L120" s="64" t="s">
        <v>552</v>
      </c>
      <c r="M120" s="64" t="s">
        <v>659</v>
      </c>
      <c r="N120" s="32" t="s">
        <v>782</v>
      </c>
      <c r="O120" s="126"/>
      <c r="P120" s="126"/>
      <c r="Q120" s="126"/>
    </row>
    <row r="121" spans="1:17" ht="85.5" x14ac:dyDescent="0.75">
      <c r="A121" s="61" t="s">
        <v>915</v>
      </c>
      <c r="B121" s="32" t="s">
        <v>916</v>
      </c>
      <c r="C121" s="32" t="s">
        <v>906</v>
      </c>
      <c r="D121" s="32" t="s">
        <v>657</v>
      </c>
      <c r="E121" s="32" t="s">
        <v>58</v>
      </c>
      <c r="F121" s="32">
        <v>4.0999999999999996</v>
      </c>
      <c r="G121" s="64" t="s">
        <v>567</v>
      </c>
      <c r="H121" s="62" t="s">
        <v>575</v>
      </c>
      <c r="I121" s="62" t="s">
        <v>576</v>
      </c>
      <c r="J121" s="32">
        <v>6.1</v>
      </c>
      <c r="K121" s="63" t="s">
        <v>66</v>
      </c>
      <c r="L121" s="64" t="s">
        <v>597</v>
      </c>
      <c r="M121" s="64" t="s">
        <v>676</v>
      </c>
      <c r="N121" s="32" t="s">
        <v>782</v>
      </c>
      <c r="O121" s="126"/>
      <c r="P121" s="126"/>
      <c r="Q121" s="126"/>
    </row>
    <row r="122" spans="1:17" ht="85.5" x14ac:dyDescent="0.75">
      <c r="A122" s="61" t="s">
        <v>917</v>
      </c>
      <c r="B122" s="32" t="s">
        <v>918</v>
      </c>
      <c r="C122" s="32" t="s">
        <v>906</v>
      </c>
      <c r="D122" s="32" t="s">
        <v>657</v>
      </c>
      <c r="E122" s="32" t="s">
        <v>58</v>
      </c>
      <c r="F122" s="32">
        <v>4.0999999999999996</v>
      </c>
      <c r="G122" s="64" t="s">
        <v>567</v>
      </c>
      <c r="H122" s="62" t="s">
        <v>575</v>
      </c>
      <c r="I122" s="62" t="s">
        <v>576</v>
      </c>
      <c r="J122" s="32">
        <v>6.1</v>
      </c>
      <c r="K122" s="63" t="s">
        <v>66</v>
      </c>
      <c r="L122" s="62" t="s">
        <v>600</v>
      </c>
      <c r="M122" s="62" t="s">
        <v>659</v>
      </c>
      <c r="N122" s="32" t="s">
        <v>782</v>
      </c>
      <c r="O122" s="126"/>
      <c r="P122" s="126"/>
      <c r="Q122" s="126"/>
    </row>
    <row r="123" spans="1:17" ht="114" x14ac:dyDescent="0.75">
      <c r="A123" s="61" t="s">
        <v>919</v>
      </c>
      <c r="B123" s="32" t="s">
        <v>920</v>
      </c>
      <c r="C123" s="32" t="s">
        <v>921</v>
      </c>
      <c r="D123" s="32" t="s">
        <v>657</v>
      </c>
      <c r="E123" s="32" t="s">
        <v>59</v>
      </c>
      <c r="F123" s="32">
        <v>4.0999999999999996</v>
      </c>
      <c r="G123" s="64" t="s">
        <v>567</v>
      </c>
      <c r="H123" s="71" t="s">
        <v>587</v>
      </c>
      <c r="I123" s="32" t="s">
        <v>588</v>
      </c>
      <c r="J123" s="32">
        <v>2.1</v>
      </c>
      <c r="K123" s="63" t="s">
        <v>658</v>
      </c>
      <c r="L123" s="64" t="s">
        <v>493</v>
      </c>
      <c r="M123" s="64" t="s">
        <v>659</v>
      </c>
      <c r="N123" s="32" t="s">
        <v>922</v>
      </c>
      <c r="O123" s="65"/>
      <c r="P123" s="65"/>
      <c r="Q123" s="65"/>
    </row>
    <row r="124" spans="1:17" ht="71.25" x14ac:dyDescent="0.75">
      <c r="A124" s="61" t="s">
        <v>923</v>
      </c>
      <c r="B124" s="32" t="s">
        <v>924</v>
      </c>
      <c r="C124" s="32" t="s">
        <v>925</v>
      </c>
      <c r="D124" s="32" t="s">
        <v>657</v>
      </c>
      <c r="E124" s="32" t="s">
        <v>59</v>
      </c>
      <c r="F124" s="32">
        <v>4.0999999999999996</v>
      </c>
      <c r="G124" s="64" t="s">
        <v>567</v>
      </c>
      <c r="H124" s="71" t="s">
        <v>587</v>
      </c>
      <c r="I124" s="32" t="s">
        <v>588</v>
      </c>
      <c r="J124" s="32">
        <v>3.1</v>
      </c>
      <c r="K124" s="63" t="s">
        <v>664</v>
      </c>
      <c r="L124" s="64" t="s">
        <v>552</v>
      </c>
      <c r="M124" s="64" t="s">
        <v>659</v>
      </c>
      <c r="N124" s="32" t="s">
        <v>922</v>
      </c>
      <c r="O124" s="65"/>
      <c r="P124" s="65"/>
      <c r="Q124" s="65"/>
    </row>
    <row r="125" spans="1:17" ht="71.25" x14ac:dyDescent="0.75">
      <c r="A125" s="61" t="s">
        <v>926</v>
      </c>
      <c r="B125" s="32" t="s">
        <v>927</v>
      </c>
      <c r="C125" s="32" t="s">
        <v>925</v>
      </c>
      <c r="D125" s="32" t="s">
        <v>657</v>
      </c>
      <c r="E125" s="32" t="s">
        <v>58</v>
      </c>
      <c r="F125" s="32">
        <v>4.0999999999999996</v>
      </c>
      <c r="G125" s="64" t="s">
        <v>567</v>
      </c>
      <c r="H125" s="71" t="s">
        <v>587</v>
      </c>
      <c r="I125" s="32" t="s">
        <v>588</v>
      </c>
      <c r="J125" s="32">
        <v>6.1</v>
      </c>
      <c r="K125" s="63" t="s">
        <v>66</v>
      </c>
      <c r="L125" s="64" t="s">
        <v>597</v>
      </c>
      <c r="M125" s="64" t="s">
        <v>676</v>
      </c>
      <c r="N125" s="32" t="s">
        <v>922</v>
      </c>
      <c r="O125" s="65"/>
      <c r="P125" s="65"/>
      <c r="Q125" s="65"/>
    </row>
    <row r="126" spans="1:17" ht="71.25" x14ac:dyDescent="0.75">
      <c r="A126" s="61" t="s">
        <v>928</v>
      </c>
      <c r="B126" s="32" t="s">
        <v>929</v>
      </c>
      <c r="C126" s="32" t="s">
        <v>925</v>
      </c>
      <c r="D126" s="32" t="s">
        <v>657</v>
      </c>
      <c r="E126" s="32" t="s">
        <v>58</v>
      </c>
      <c r="F126" s="32">
        <v>4.0999999999999996</v>
      </c>
      <c r="G126" s="64" t="s">
        <v>567</v>
      </c>
      <c r="H126" s="71" t="s">
        <v>587</v>
      </c>
      <c r="I126" s="32" t="s">
        <v>588</v>
      </c>
      <c r="J126" s="32">
        <v>6.1</v>
      </c>
      <c r="K126" s="63" t="s">
        <v>66</v>
      </c>
      <c r="L126" s="62" t="s">
        <v>600</v>
      </c>
      <c r="M126" s="62" t="s">
        <v>659</v>
      </c>
      <c r="N126" s="32" t="s">
        <v>922</v>
      </c>
      <c r="O126" s="65"/>
      <c r="P126" s="65"/>
      <c r="Q126" s="65"/>
    </row>
    <row r="127" spans="1:17" ht="42.75" x14ac:dyDescent="0.75">
      <c r="A127" s="61" t="s">
        <v>930</v>
      </c>
      <c r="B127" s="32" t="s">
        <v>931</v>
      </c>
      <c r="C127" s="32" t="s">
        <v>663</v>
      </c>
      <c r="D127" s="32" t="s">
        <v>657</v>
      </c>
      <c r="E127" s="32" t="s">
        <v>58</v>
      </c>
      <c r="F127" s="62">
        <v>1.1000000000000001</v>
      </c>
      <c r="G127" s="62" t="s">
        <v>466</v>
      </c>
      <c r="H127" s="69" t="s">
        <v>477</v>
      </c>
      <c r="I127" s="69" t="s">
        <v>478</v>
      </c>
      <c r="J127" s="32">
        <v>8.1</v>
      </c>
      <c r="K127" s="63" t="s">
        <v>932</v>
      </c>
      <c r="L127" s="32" t="s">
        <v>933</v>
      </c>
      <c r="M127" s="63" t="s">
        <v>932</v>
      </c>
      <c r="O127" s="126"/>
      <c r="P127" s="126"/>
      <c r="Q127" s="126"/>
    </row>
    <row r="128" spans="1:17" ht="42.75" x14ac:dyDescent="0.75">
      <c r="A128" s="61" t="s">
        <v>934</v>
      </c>
      <c r="B128" s="32" t="s">
        <v>935</v>
      </c>
      <c r="C128" s="32" t="s">
        <v>663</v>
      </c>
      <c r="D128" s="32" t="s">
        <v>657</v>
      </c>
      <c r="E128" s="32" t="s">
        <v>58</v>
      </c>
      <c r="F128" s="62">
        <v>1.1000000000000001</v>
      </c>
      <c r="G128" s="62" t="s">
        <v>466</v>
      </c>
      <c r="H128" s="69" t="s">
        <v>477</v>
      </c>
      <c r="I128" s="69" t="s">
        <v>478</v>
      </c>
      <c r="J128" s="32">
        <v>8.1</v>
      </c>
      <c r="K128" s="63" t="s">
        <v>932</v>
      </c>
      <c r="L128" s="32" t="s">
        <v>933</v>
      </c>
      <c r="M128" s="63" t="s">
        <v>932</v>
      </c>
      <c r="O128" s="126"/>
      <c r="P128" s="126"/>
      <c r="Q128" s="126"/>
    </row>
    <row r="129" spans="1:17" ht="85.5" x14ac:dyDescent="0.75">
      <c r="A129" s="61" t="s">
        <v>936</v>
      </c>
      <c r="B129" s="32" t="s">
        <v>937</v>
      </c>
      <c r="C129" s="32" t="s">
        <v>938</v>
      </c>
      <c r="D129" s="32" t="s">
        <v>657</v>
      </c>
      <c r="E129" s="32" t="s">
        <v>58</v>
      </c>
      <c r="F129" s="32">
        <v>1.2</v>
      </c>
      <c r="G129" s="64" t="s">
        <v>480</v>
      </c>
      <c r="H129" s="64" t="s">
        <v>482</v>
      </c>
      <c r="I129" s="62" t="s">
        <v>483</v>
      </c>
      <c r="J129" s="32">
        <v>5.0999999999999996</v>
      </c>
      <c r="K129" s="63" t="s">
        <v>65</v>
      </c>
      <c r="L129" s="32" t="s">
        <v>933</v>
      </c>
      <c r="M129" s="63" t="s">
        <v>932</v>
      </c>
      <c r="N129" s="32" t="s">
        <v>782</v>
      </c>
      <c r="O129" s="126"/>
      <c r="P129" s="126"/>
      <c r="Q129" s="126"/>
    </row>
    <row r="130" spans="1:17" ht="42.75" x14ac:dyDescent="0.75">
      <c r="A130" s="61" t="s">
        <v>939</v>
      </c>
      <c r="B130" s="32" t="s">
        <v>940</v>
      </c>
      <c r="C130" s="32" t="s">
        <v>663</v>
      </c>
      <c r="D130" s="32" t="s">
        <v>657</v>
      </c>
      <c r="E130" s="32" t="s">
        <v>58</v>
      </c>
      <c r="F130" s="62">
        <v>1.1000000000000001</v>
      </c>
      <c r="G130" s="62" t="s">
        <v>466</v>
      </c>
      <c r="H130" s="69" t="s">
        <v>474</v>
      </c>
      <c r="I130" s="69" t="s">
        <v>475</v>
      </c>
      <c r="J130" s="32">
        <v>8.1</v>
      </c>
      <c r="K130" s="63" t="s">
        <v>932</v>
      </c>
      <c r="L130" s="32" t="s">
        <v>933</v>
      </c>
      <c r="M130" s="63" t="s">
        <v>932</v>
      </c>
      <c r="O130" s="126"/>
      <c r="P130" s="126"/>
      <c r="Q130" s="126"/>
    </row>
    <row r="131" spans="1:17" ht="42.75" x14ac:dyDescent="0.75">
      <c r="A131" s="61" t="s">
        <v>941</v>
      </c>
      <c r="B131" s="32" t="s">
        <v>942</v>
      </c>
      <c r="C131" s="32" t="s">
        <v>663</v>
      </c>
      <c r="D131" s="32" t="s">
        <v>657</v>
      </c>
      <c r="E131" s="32" t="s">
        <v>58</v>
      </c>
      <c r="F131" s="62">
        <v>1.1000000000000001</v>
      </c>
      <c r="G131" s="62" t="s">
        <v>466</v>
      </c>
      <c r="H131" s="69" t="s">
        <v>477</v>
      </c>
      <c r="I131" s="69" t="s">
        <v>478</v>
      </c>
      <c r="J131" s="32">
        <v>8.1</v>
      </c>
      <c r="K131" s="63" t="s">
        <v>932</v>
      </c>
      <c r="L131" s="32" t="s">
        <v>933</v>
      </c>
      <c r="M131" s="63" t="s">
        <v>932</v>
      </c>
      <c r="O131" s="126"/>
      <c r="P131" s="126"/>
      <c r="Q131" s="126"/>
    </row>
    <row r="132" spans="1:17" ht="57" x14ac:dyDescent="0.75">
      <c r="A132" s="61" t="s">
        <v>943</v>
      </c>
      <c r="B132" s="32" t="s">
        <v>944</v>
      </c>
      <c r="C132" s="68" t="s">
        <v>656</v>
      </c>
      <c r="D132" s="32" t="s">
        <v>657</v>
      </c>
      <c r="E132" s="32" t="s">
        <v>59</v>
      </c>
      <c r="F132" s="62">
        <v>0.1</v>
      </c>
      <c r="G132" s="62" t="s">
        <v>415</v>
      </c>
      <c r="H132" s="62" t="s">
        <v>417</v>
      </c>
      <c r="I132" s="62" t="s">
        <v>418</v>
      </c>
      <c r="J132" s="32">
        <v>2.1</v>
      </c>
      <c r="K132" s="63" t="s">
        <v>658</v>
      </c>
      <c r="L132" s="64" t="s">
        <v>493</v>
      </c>
      <c r="M132" s="62" t="s">
        <v>659</v>
      </c>
      <c r="N132" s="32" t="s">
        <v>767</v>
      </c>
      <c r="O132" s="126"/>
      <c r="P132" s="126"/>
      <c r="Q132" s="126"/>
    </row>
    <row r="133" spans="1:17" ht="57" x14ac:dyDescent="0.75">
      <c r="A133" s="61" t="s">
        <v>945</v>
      </c>
      <c r="B133" s="32" t="s">
        <v>946</v>
      </c>
      <c r="C133" s="32" t="s">
        <v>663</v>
      </c>
      <c r="D133" s="32" t="s">
        <v>657</v>
      </c>
      <c r="E133" s="32" t="s">
        <v>59</v>
      </c>
      <c r="F133" s="62">
        <v>0.1</v>
      </c>
      <c r="G133" s="62" t="s">
        <v>415</v>
      </c>
      <c r="H133" s="62" t="s">
        <v>417</v>
      </c>
      <c r="I133" s="62" t="s">
        <v>418</v>
      </c>
      <c r="J133" s="32">
        <v>3.1</v>
      </c>
      <c r="K133" s="63" t="s">
        <v>664</v>
      </c>
      <c r="L133" s="64" t="s">
        <v>552</v>
      </c>
      <c r="M133" s="62" t="s">
        <v>659</v>
      </c>
      <c r="N133" s="32" t="s">
        <v>767</v>
      </c>
      <c r="O133" s="126"/>
      <c r="P133" s="126"/>
      <c r="Q133" s="126"/>
    </row>
    <row r="134" spans="1:17" s="72" customFormat="1" ht="42.75" x14ac:dyDescent="0.75">
      <c r="A134" s="61" t="s">
        <v>947</v>
      </c>
      <c r="B134" s="32" t="s">
        <v>948</v>
      </c>
      <c r="C134" s="68" t="s">
        <v>656</v>
      </c>
      <c r="D134" s="32" t="s">
        <v>657</v>
      </c>
      <c r="E134" s="32" t="s">
        <v>59</v>
      </c>
      <c r="F134" s="62">
        <v>0.1</v>
      </c>
      <c r="G134" s="62" t="s">
        <v>415</v>
      </c>
      <c r="H134" s="69" t="s">
        <v>429</v>
      </c>
      <c r="I134" s="69" t="s">
        <v>430</v>
      </c>
      <c r="J134" s="32">
        <v>2.1</v>
      </c>
      <c r="K134" s="64" t="s">
        <v>658</v>
      </c>
      <c r="L134" s="64" t="s">
        <v>493</v>
      </c>
      <c r="M134" s="62" t="s">
        <v>659</v>
      </c>
      <c r="N134" s="32"/>
      <c r="O134" s="177"/>
      <c r="P134" s="177"/>
      <c r="Q134" s="177"/>
    </row>
    <row r="135" spans="1:17" ht="42.75" x14ac:dyDescent="0.75">
      <c r="A135" s="61" t="s">
        <v>949</v>
      </c>
      <c r="B135" s="32" t="s">
        <v>950</v>
      </c>
      <c r="C135" s="68"/>
      <c r="D135" s="32" t="s">
        <v>657</v>
      </c>
      <c r="E135" s="32" t="s">
        <v>59</v>
      </c>
      <c r="F135" s="62">
        <v>0.1</v>
      </c>
      <c r="G135" s="62" t="s">
        <v>415</v>
      </c>
      <c r="H135" s="69" t="s">
        <v>429</v>
      </c>
      <c r="I135" s="69" t="s">
        <v>430</v>
      </c>
      <c r="J135" s="32">
        <v>3.1</v>
      </c>
      <c r="K135" s="63" t="s">
        <v>664</v>
      </c>
      <c r="L135" s="64" t="s">
        <v>552</v>
      </c>
      <c r="M135" s="62" t="s">
        <v>659</v>
      </c>
      <c r="O135" s="126"/>
      <c r="P135" s="126"/>
      <c r="Q135" s="126"/>
    </row>
    <row r="136" spans="1:17" ht="28.5" x14ac:dyDescent="0.75">
      <c r="A136" s="61" t="s">
        <v>951</v>
      </c>
      <c r="B136" s="32" t="s">
        <v>952</v>
      </c>
      <c r="C136" s="68" t="s">
        <v>656</v>
      </c>
      <c r="D136" s="32" t="s">
        <v>657</v>
      </c>
      <c r="E136" s="32" t="s">
        <v>59</v>
      </c>
      <c r="F136" s="62">
        <v>0.1</v>
      </c>
      <c r="G136" s="62" t="s">
        <v>415</v>
      </c>
      <c r="H136" s="69" t="s">
        <v>432</v>
      </c>
      <c r="I136" s="69" t="s">
        <v>433</v>
      </c>
      <c r="J136" s="32">
        <v>2.1</v>
      </c>
      <c r="K136" s="63" t="s">
        <v>658</v>
      </c>
      <c r="L136" s="64" t="s">
        <v>493</v>
      </c>
      <c r="M136" s="62" t="s">
        <v>659</v>
      </c>
      <c r="O136" s="126"/>
      <c r="P136" s="126"/>
      <c r="Q136" s="126"/>
    </row>
    <row r="137" spans="1:17" ht="28.5" x14ac:dyDescent="0.75">
      <c r="A137" s="61" t="s">
        <v>953</v>
      </c>
      <c r="B137" s="32" t="s">
        <v>954</v>
      </c>
      <c r="C137" s="32" t="s">
        <v>663</v>
      </c>
      <c r="D137" s="32" t="s">
        <v>657</v>
      </c>
      <c r="E137" s="32" t="s">
        <v>59</v>
      </c>
      <c r="F137" s="62">
        <v>0.1</v>
      </c>
      <c r="G137" s="62" t="s">
        <v>415</v>
      </c>
      <c r="H137" s="69" t="s">
        <v>432</v>
      </c>
      <c r="I137" s="69" t="s">
        <v>433</v>
      </c>
      <c r="J137" s="32">
        <v>3.1</v>
      </c>
      <c r="K137" s="63" t="s">
        <v>664</v>
      </c>
      <c r="L137" s="64" t="s">
        <v>552</v>
      </c>
      <c r="M137" s="62" t="s">
        <v>659</v>
      </c>
      <c r="O137" s="126"/>
      <c r="P137" s="126"/>
      <c r="Q137" s="126"/>
    </row>
    <row r="138" spans="1:17" ht="42.75" x14ac:dyDescent="0.75">
      <c r="A138" s="61" t="s">
        <v>955</v>
      </c>
      <c r="B138" s="32" t="s">
        <v>956</v>
      </c>
      <c r="C138" s="68" t="s">
        <v>656</v>
      </c>
      <c r="D138" s="32" t="s">
        <v>657</v>
      </c>
      <c r="E138" s="32" t="s">
        <v>59</v>
      </c>
      <c r="F138" s="62">
        <v>0.1</v>
      </c>
      <c r="G138" s="62" t="s">
        <v>415</v>
      </c>
      <c r="H138" s="69" t="s">
        <v>429</v>
      </c>
      <c r="I138" s="69" t="s">
        <v>430</v>
      </c>
      <c r="J138" s="32">
        <v>2.1</v>
      </c>
      <c r="K138" s="63" t="s">
        <v>658</v>
      </c>
      <c r="L138" s="64" t="s">
        <v>493</v>
      </c>
      <c r="M138" s="62" t="s">
        <v>659</v>
      </c>
      <c r="N138" s="32" t="s">
        <v>801</v>
      </c>
      <c r="O138" s="126"/>
      <c r="P138" s="126"/>
      <c r="Q138" s="126"/>
    </row>
    <row r="139" spans="1:17" ht="42.75" x14ac:dyDescent="0.75">
      <c r="A139" s="61" t="s">
        <v>957</v>
      </c>
      <c r="B139" s="32" t="s">
        <v>958</v>
      </c>
      <c r="C139" s="32" t="s">
        <v>663</v>
      </c>
      <c r="D139" s="32" t="s">
        <v>657</v>
      </c>
      <c r="E139" s="32" t="s">
        <v>59</v>
      </c>
      <c r="F139" s="62">
        <v>0.1</v>
      </c>
      <c r="G139" s="62" t="s">
        <v>415</v>
      </c>
      <c r="H139" s="69" t="s">
        <v>429</v>
      </c>
      <c r="I139" s="69" t="s">
        <v>430</v>
      </c>
      <c r="J139" s="32">
        <v>3.1</v>
      </c>
      <c r="K139" s="63" t="s">
        <v>664</v>
      </c>
      <c r="L139" s="64" t="s">
        <v>552</v>
      </c>
      <c r="M139" s="62" t="s">
        <v>659</v>
      </c>
      <c r="N139" s="32" t="s">
        <v>801</v>
      </c>
      <c r="O139" s="126"/>
      <c r="P139" s="126"/>
      <c r="Q139" s="126"/>
    </row>
    <row r="140" spans="1:17" ht="28.5" x14ac:dyDescent="0.75">
      <c r="A140" s="61" t="s">
        <v>959</v>
      </c>
      <c r="B140" s="32" t="s">
        <v>960</v>
      </c>
      <c r="C140" s="68" t="s">
        <v>656</v>
      </c>
      <c r="D140" s="32" t="s">
        <v>961</v>
      </c>
      <c r="E140" s="32" t="s">
        <v>59</v>
      </c>
      <c r="F140" s="32">
        <v>1.1000000000000001</v>
      </c>
      <c r="G140" s="62" t="s">
        <v>466</v>
      </c>
      <c r="H140" s="62" t="s">
        <v>468</v>
      </c>
      <c r="I140" s="62" t="s">
        <v>469</v>
      </c>
      <c r="J140" s="32">
        <v>2.1</v>
      </c>
      <c r="K140" s="63" t="s">
        <v>658</v>
      </c>
      <c r="L140" s="64" t="s">
        <v>493</v>
      </c>
      <c r="M140" s="62" t="s">
        <v>659</v>
      </c>
      <c r="N140" s="32" t="s">
        <v>782</v>
      </c>
      <c r="O140" s="126"/>
      <c r="P140" s="126"/>
      <c r="Q140" s="126"/>
    </row>
    <row r="141" spans="1:17" ht="28.5" x14ac:dyDescent="0.75">
      <c r="A141" s="61" t="s">
        <v>962</v>
      </c>
      <c r="B141" s="32" t="s">
        <v>963</v>
      </c>
      <c r="C141" s="32" t="s">
        <v>663</v>
      </c>
      <c r="D141" s="32" t="s">
        <v>961</v>
      </c>
      <c r="E141" s="32" t="s">
        <v>59</v>
      </c>
      <c r="F141" s="32">
        <v>1.1000000000000001</v>
      </c>
      <c r="G141" s="62" t="s">
        <v>466</v>
      </c>
      <c r="H141" s="62" t="s">
        <v>468</v>
      </c>
      <c r="I141" s="62" t="s">
        <v>469</v>
      </c>
      <c r="J141" s="32">
        <v>3.1</v>
      </c>
      <c r="K141" s="63" t="s">
        <v>664</v>
      </c>
      <c r="L141" s="64" t="s">
        <v>552</v>
      </c>
      <c r="M141" s="62" t="s">
        <v>659</v>
      </c>
      <c r="N141" s="32" t="s">
        <v>782</v>
      </c>
      <c r="O141" s="126"/>
      <c r="P141" s="126"/>
      <c r="Q141" s="126"/>
    </row>
    <row r="142" spans="1:17" ht="99.75" x14ac:dyDescent="0.75">
      <c r="A142" s="61" t="s">
        <v>964</v>
      </c>
      <c r="B142" s="32" t="s">
        <v>965</v>
      </c>
      <c r="C142" s="32" t="s">
        <v>966</v>
      </c>
      <c r="D142" s="32" t="s">
        <v>961</v>
      </c>
      <c r="E142" s="32" t="s">
        <v>58</v>
      </c>
      <c r="F142" s="32">
        <v>1.1000000000000001</v>
      </c>
      <c r="G142" s="62" t="s">
        <v>466</v>
      </c>
      <c r="H142" s="62" t="s">
        <v>468</v>
      </c>
      <c r="I142" s="62" t="s">
        <v>469</v>
      </c>
      <c r="J142" s="32">
        <v>4.0999999999999996</v>
      </c>
      <c r="K142" s="63" t="s">
        <v>967</v>
      </c>
      <c r="L142" s="62" t="s">
        <v>572</v>
      </c>
      <c r="M142" s="62" t="s">
        <v>968</v>
      </c>
      <c r="N142" s="32" t="s">
        <v>782</v>
      </c>
      <c r="O142" s="126"/>
      <c r="P142" s="126"/>
      <c r="Q142" s="126"/>
    </row>
    <row r="143" spans="1:17" ht="85.5" x14ac:dyDescent="0.75">
      <c r="A143" s="61" t="s">
        <v>969</v>
      </c>
      <c r="B143" s="32" t="s">
        <v>970</v>
      </c>
      <c r="C143" s="32" t="s">
        <v>473</v>
      </c>
      <c r="D143" s="32" t="s">
        <v>961</v>
      </c>
      <c r="E143" s="32" t="s">
        <v>58</v>
      </c>
      <c r="F143" s="32">
        <v>1.1000000000000001</v>
      </c>
      <c r="G143" s="62" t="s">
        <v>466</v>
      </c>
      <c r="H143" s="71" t="s">
        <v>471</v>
      </c>
      <c r="I143" s="32" t="s">
        <v>971</v>
      </c>
      <c r="J143" s="32">
        <v>4.0999999999999996</v>
      </c>
      <c r="K143" s="63" t="s">
        <v>967</v>
      </c>
      <c r="L143" s="62" t="s">
        <v>572</v>
      </c>
      <c r="M143" s="62" t="s">
        <v>968</v>
      </c>
      <c r="N143" s="32" t="s">
        <v>782</v>
      </c>
      <c r="O143" s="65"/>
      <c r="P143" s="65"/>
      <c r="Q143" s="65"/>
    </row>
    <row r="144" spans="1:17" ht="85.5" x14ac:dyDescent="0.75">
      <c r="A144" s="61" t="s">
        <v>972</v>
      </c>
      <c r="B144" s="32" t="s">
        <v>973</v>
      </c>
      <c r="C144" s="32" t="s">
        <v>470</v>
      </c>
      <c r="D144" s="32" t="s">
        <v>961</v>
      </c>
      <c r="E144" s="32" t="s">
        <v>58</v>
      </c>
      <c r="F144" s="32">
        <v>1.1000000000000001</v>
      </c>
      <c r="G144" s="62" t="s">
        <v>466</v>
      </c>
      <c r="H144" s="62" t="s">
        <v>468</v>
      </c>
      <c r="I144" s="62" t="s">
        <v>469</v>
      </c>
      <c r="J144" s="32">
        <v>4.0999999999999996</v>
      </c>
      <c r="K144" s="63" t="s">
        <v>967</v>
      </c>
      <c r="L144" s="32" t="s">
        <v>569</v>
      </c>
      <c r="M144" s="62" t="s">
        <v>659</v>
      </c>
      <c r="N144" s="32" t="s">
        <v>782</v>
      </c>
      <c r="O144" s="65"/>
      <c r="P144" s="65"/>
      <c r="Q144" s="65"/>
    </row>
    <row r="145" spans="1:17" ht="85.5" x14ac:dyDescent="0.75">
      <c r="A145" s="61" t="s">
        <v>974</v>
      </c>
      <c r="B145" s="32" t="s">
        <v>975</v>
      </c>
      <c r="C145" s="32" t="s">
        <v>470</v>
      </c>
      <c r="D145" s="32" t="s">
        <v>961</v>
      </c>
      <c r="E145" s="32" t="s">
        <v>58</v>
      </c>
      <c r="F145" s="32">
        <v>1.1000000000000001</v>
      </c>
      <c r="G145" s="62" t="s">
        <v>466</v>
      </c>
      <c r="H145" s="62" t="s">
        <v>468</v>
      </c>
      <c r="I145" s="62" t="s">
        <v>469</v>
      </c>
      <c r="J145" s="32">
        <v>4.0999999999999996</v>
      </c>
      <c r="K145" s="63" t="s">
        <v>967</v>
      </c>
      <c r="L145" s="32" t="s">
        <v>569</v>
      </c>
      <c r="M145" s="62" t="s">
        <v>659</v>
      </c>
      <c r="N145" s="32" t="s">
        <v>782</v>
      </c>
      <c r="O145" s="65"/>
      <c r="P145" s="65"/>
      <c r="Q145" s="65"/>
    </row>
    <row r="146" spans="1:17" ht="85.5" x14ac:dyDescent="0.75">
      <c r="A146" s="61" t="s">
        <v>976</v>
      </c>
      <c r="B146" s="32" t="s">
        <v>977</v>
      </c>
      <c r="C146" s="32" t="s">
        <v>470</v>
      </c>
      <c r="D146" s="32" t="s">
        <v>961</v>
      </c>
      <c r="E146" s="32" t="s">
        <v>58</v>
      </c>
      <c r="F146" s="32">
        <v>1.1000000000000001</v>
      </c>
      <c r="G146" s="62" t="s">
        <v>466</v>
      </c>
      <c r="H146" s="62" t="s">
        <v>468</v>
      </c>
      <c r="I146" s="62" t="s">
        <v>469</v>
      </c>
      <c r="J146" s="32">
        <v>4.0999999999999996</v>
      </c>
      <c r="K146" s="63" t="s">
        <v>967</v>
      </c>
      <c r="L146" s="32" t="s">
        <v>569</v>
      </c>
      <c r="M146" s="62" t="s">
        <v>659</v>
      </c>
      <c r="N146" s="32" t="s">
        <v>782</v>
      </c>
      <c r="O146" s="65"/>
      <c r="P146" s="65"/>
      <c r="Q146" s="65"/>
    </row>
    <row r="147" spans="1:17" ht="85.5" x14ac:dyDescent="0.75">
      <c r="A147" s="61" t="s">
        <v>978</v>
      </c>
      <c r="B147" s="32" t="s">
        <v>979</v>
      </c>
      <c r="C147" s="32" t="s">
        <v>473</v>
      </c>
      <c r="D147" s="32" t="s">
        <v>961</v>
      </c>
      <c r="E147" s="32" t="s">
        <v>58</v>
      </c>
      <c r="F147" s="32">
        <v>1.1000000000000001</v>
      </c>
      <c r="G147" s="62" t="s">
        <v>466</v>
      </c>
      <c r="H147" s="71" t="s">
        <v>471</v>
      </c>
      <c r="I147" s="32" t="s">
        <v>971</v>
      </c>
      <c r="J147" s="32">
        <v>4.0999999999999996</v>
      </c>
      <c r="K147" s="63" t="s">
        <v>967</v>
      </c>
      <c r="L147" s="32" t="s">
        <v>569</v>
      </c>
      <c r="M147" s="62" t="s">
        <v>659</v>
      </c>
      <c r="N147" s="32" t="s">
        <v>782</v>
      </c>
      <c r="O147" s="65"/>
      <c r="P147" s="65"/>
      <c r="Q147" s="65"/>
    </row>
    <row r="148" spans="1:17" ht="85.5" x14ac:dyDescent="0.75">
      <c r="A148" s="61" t="s">
        <v>980</v>
      </c>
      <c r="B148" s="32" t="s">
        <v>981</v>
      </c>
      <c r="C148" s="32" t="s">
        <v>473</v>
      </c>
      <c r="D148" s="32" t="s">
        <v>961</v>
      </c>
      <c r="E148" s="32" t="s">
        <v>58</v>
      </c>
      <c r="F148" s="32">
        <v>1.1000000000000001</v>
      </c>
      <c r="G148" s="62" t="s">
        <v>466</v>
      </c>
      <c r="H148" s="71" t="s">
        <v>471</v>
      </c>
      <c r="I148" s="32" t="s">
        <v>971</v>
      </c>
      <c r="J148" s="32">
        <v>4.0999999999999996</v>
      </c>
      <c r="K148" s="63" t="s">
        <v>967</v>
      </c>
      <c r="L148" s="32" t="s">
        <v>569</v>
      </c>
      <c r="M148" s="62" t="s">
        <v>659</v>
      </c>
      <c r="N148" s="32" t="s">
        <v>782</v>
      </c>
      <c r="O148" s="65"/>
      <c r="P148" s="65"/>
      <c r="Q148" s="65"/>
    </row>
    <row r="149" spans="1:17" ht="85.5" x14ac:dyDescent="0.75">
      <c r="A149" s="61" t="s">
        <v>982</v>
      </c>
      <c r="B149" s="32" t="s">
        <v>983</v>
      </c>
      <c r="C149" s="32" t="s">
        <v>473</v>
      </c>
      <c r="D149" s="32" t="s">
        <v>961</v>
      </c>
      <c r="E149" s="32" t="s">
        <v>58</v>
      </c>
      <c r="F149" s="32">
        <v>1.1000000000000001</v>
      </c>
      <c r="G149" s="62" t="s">
        <v>466</v>
      </c>
      <c r="H149" s="71" t="s">
        <v>471</v>
      </c>
      <c r="I149" s="32" t="s">
        <v>971</v>
      </c>
      <c r="J149" s="32">
        <v>4.0999999999999996</v>
      </c>
      <c r="K149" s="63" t="s">
        <v>967</v>
      </c>
      <c r="L149" s="32" t="s">
        <v>569</v>
      </c>
      <c r="M149" s="62" t="s">
        <v>659</v>
      </c>
      <c r="N149" s="32" t="s">
        <v>782</v>
      </c>
      <c r="O149" s="65"/>
      <c r="P149" s="65"/>
      <c r="Q149" s="65"/>
    </row>
    <row r="150" spans="1:17" ht="85.5" x14ac:dyDescent="0.75">
      <c r="A150" s="61" t="s">
        <v>984</v>
      </c>
      <c r="B150" s="32" t="s">
        <v>985</v>
      </c>
      <c r="C150" s="32" t="s">
        <v>470</v>
      </c>
      <c r="D150" s="32" t="s">
        <v>961</v>
      </c>
      <c r="E150" s="32" t="s">
        <v>58</v>
      </c>
      <c r="F150" s="32">
        <v>1.1000000000000001</v>
      </c>
      <c r="G150" s="62" t="s">
        <v>466</v>
      </c>
      <c r="H150" s="62" t="s">
        <v>468</v>
      </c>
      <c r="I150" s="62" t="s">
        <v>469</v>
      </c>
      <c r="J150" s="32">
        <v>4.0999999999999996</v>
      </c>
      <c r="K150" s="63" t="s">
        <v>967</v>
      </c>
      <c r="L150" s="32" t="s">
        <v>569</v>
      </c>
      <c r="M150" s="62" t="s">
        <v>659</v>
      </c>
      <c r="N150" s="32" t="s">
        <v>782</v>
      </c>
      <c r="O150" s="65"/>
      <c r="P150" s="65"/>
      <c r="Q150" s="65"/>
    </row>
    <row r="151" spans="1:17" ht="85.5" x14ac:dyDescent="0.75">
      <c r="A151" s="61" t="s">
        <v>986</v>
      </c>
      <c r="B151" s="32" t="s">
        <v>987</v>
      </c>
      <c r="C151" s="32" t="s">
        <v>473</v>
      </c>
      <c r="D151" s="32" t="s">
        <v>961</v>
      </c>
      <c r="E151" s="32" t="s">
        <v>58</v>
      </c>
      <c r="F151" s="32">
        <v>1.1000000000000001</v>
      </c>
      <c r="G151" s="62" t="s">
        <v>466</v>
      </c>
      <c r="H151" s="71" t="s">
        <v>471</v>
      </c>
      <c r="I151" s="32" t="s">
        <v>971</v>
      </c>
      <c r="J151" s="32">
        <v>4.0999999999999996</v>
      </c>
      <c r="K151" s="63" t="s">
        <v>967</v>
      </c>
      <c r="L151" s="32" t="s">
        <v>569</v>
      </c>
      <c r="M151" s="62" t="s">
        <v>659</v>
      </c>
      <c r="N151" s="32" t="s">
        <v>782</v>
      </c>
      <c r="O151" s="65"/>
      <c r="P151" s="65"/>
      <c r="Q151" s="65"/>
    </row>
    <row r="152" spans="1:17" ht="85.5" x14ac:dyDescent="0.75">
      <c r="A152" s="61" t="s">
        <v>988</v>
      </c>
      <c r="B152" s="32" t="s">
        <v>989</v>
      </c>
      <c r="C152" s="32" t="s">
        <v>470</v>
      </c>
      <c r="D152" s="32" t="s">
        <v>961</v>
      </c>
      <c r="E152" s="32" t="s">
        <v>58</v>
      </c>
      <c r="F152" s="32">
        <v>1.1000000000000001</v>
      </c>
      <c r="G152" s="62" t="s">
        <v>466</v>
      </c>
      <c r="H152" s="62" t="s">
        <v>468</v>
      </c>
      <c r="I152" s="62" t="s">
        <v>469</v>
      </c>
      <c r="J152" s="32">
        <v>4.0999999999999996</v>
      </c>
      <c r="K152" s="63" t="s">
        <v>967</v>
      </c>
      <c r="L152" s="32" t="s">
        <v>569</v>
      </c>
      <c r="M152" s="62" t="s">
        <v>659</v>
      </c>
      <c r="N152" s="32" t="s">
        <v>782</v>
      </c>
      <c r="O152" s="65"/>
      <c r="P152" s="65"/>
      <c r="Q152" s="65"/>
    </row>
    <row r="153" spans="1:17" ht="85.5" x14ac:dyDescent="0.75">
      <c r="A153" s="61" t="s">
        <v>990</v>
      </c>
      <c r="B153" s="32" t="s">
        <v>991</v>
      </c>
      <c r="C153" s="32" t="s">
        <v>473</v>
      </c>
      <c r="D153" s="32" t="s">
        <v>961</v>
      </c>
      <c r="E153" s="32" t="s">
        <v>58</v>
      </c>
      <c r="F153" s="32">
        <v>1.1000000000000001</v>
      </c>
      <c r="G153" s="62" t="s">
        <v>466</v>
      </c>
      <c r="H153" s="71" t="s">
        <v>471</v>
      </c>
      <c r="I153" s="32" t="s">
        <v>971</v>
      </c>
      <c r="J153" s="32">
        <v>4.0999999999999996</v>
      </c>
      <c r="K153" s="63" t="s">
        <v>967</v>
      </c>
      <c r="L153" s="32" t="s">
        <v>569</v>
      </c>
      <c r="M153" s="62" t="s">
        <v>659</v>
      </c>
      <c r="N153" s="32" t="s">
        <v>782</v>
      </c>
      <c r="O153" s="65"/>
      <c r="P153" s="65"/>
      <c r="Q153" s="65"/>
    </row>
    <row r="154" spans="1:17" ht="28.5" x14ac:dyDescent="0.75">
      <c r="A154" s="61" t="s">
        <v>992</v>
      </c>
      <c r="B154" s="32" t="s">
        <v>993</v>
      </c>
      <c r="C154" s="68" t="s">
        <v>656</v>
      </c>
      <c r="D154" s="32" t="s">
        <v>961</v>
      </c>
      <c r="E154" s="32" t="s">
        <v>59</v>
      </c>
      <c r="F154" s="62">
        <v>0.3</v>
      </c>
      <c r="G154" s="62" t="s">
        <v>466</v>
      </c>
      <c r="H154" s="62" t="s">
        <v>468</v>
      </c>
      <c r="I154" s="62" t="s">
        <v>469</v>
      </c>
      <c r="J154" s="32">
        <v>2.1</v>
      </c>
      <c r="K154" s="63" t="s">
        <v>658</v>
      </c>
      <c r="L154" s="64" t="s">
        <v>493</v>
      </c>
      <c r="M154" s="62" t="s">
        <v>659</v>
      </c>
      <c r="N154" s="32" t="s">
        <v>782</v>
      </c>
      <c r="O154" s="126"/>
      <c r="P154" s="126"/>
      <c r="Q154" s="126"/>
    </row>
    <row r="155" spans="1:17" ht="28.5" x14ac:dyDescent="0.75">
      <c r="A155" s="61" t="s">
        <v>994</v>
      </c>
      <c r="B155" s="32" t="s">
        <v>995</v>
      </c>
      <c r="C155" s="32" t="s">
        <v>663</v>
      </c>
      <c r="D155" s="32" t="s">
        <v>961</v>
      </c>
      <c r="E155" s="32" t="s">
        <v>59</v>
      </c>
      <c r="F155" s="62">
        <v>0.3</v>
      </c>
      <c r="G155" s="62" t="s">
        <v>466</v>
      </c>
      <c r="H155" s="62" t="s">
        <v>468</v>
      </c>
      <c r="I155" s="62" t="s">
        <v>469</v>
      </c>
      <c r="J155" s="32">
        <v>3.1</v>
      </c>
      <c r="K155" s="63" t="s">
        <v>664</v>
      </c>
      <c r="L155" s="64" t="s">
        <v>552</v>
      </c>
      <c r="M155" s="62" t="s">
        <v>659</v>
      </c>
      <c r="N155" s="32" t="s">
        <v>782</v>
      </c>
      <c r="O155" s="126"/>
      <c r="P155" s="126"/>
      <c r="Q155" s="126"/>
    </row>
    <row r="156" spans="1:17" ht="28.5" x14ac:dyDescent="0.75">
      <c r="A156" s="61" t="s">
        <v>996</v>
      </c>
      <c r="B156" s="32" t="s">
        <v>997</v>
      </c>
      <c r="C156" s="32" t="s">
        <v>663</v>
      </c>
      <c r="D156" s="32" t="s">
        <v>961</v>
      </c>
      <c r="E156" s="32" t="s">
        <v>58</v>
      </c>
      <c r="F156" s="62">
        <v>0.3</v>
      </c>
      <c r="G156" s="62" t="s">
        <v>466</v>
      </c>
      <c r="H156" s="62" t="s">
        <v>468</v>
      </c>
      <c r="I156" s="62" t="s">
        <v>469</v>
      </c>
      <c r="J156" s="62">
        <v>5.0999999999999996</v>
      </c>
      <c r="K156" s="62" t="s">
        <v>65</v>
      </c>
      <c r="L156" s="32" t="s">
        <v>552</v>
      </c>
      <c r="M156" s="62" t="s">
        <v>659</v>
      </c>
      <c r="N156" s="32" t="s">
        <v>782</v>
      </c>
      <c r="O156" s="126"/>
      <c r="P156" s="126"/>
      <c r="Q156" s="126"/>
    </row>
    <row r="157" spans="1:17" ht="28.5" x14ac:dyDescent="0.75">
      <c r="A157" s="61" t="s">
        <v>998</v>
      </c>
      <c r="B157" s="32" t="s">
        <v>999</v>
      </c>
      <c r="C157" s="68" t="s">
        <v>656</v>
      </c>
      <c r="D157" s="32" t="s">
        <v>961</v>
      </c>
      <c r="E157" s="32" t="s">
        <v>59</v>
      </c>
      <c r="F157" s="62">
        <v>0.3</v>
      </c>
      <c r="G157" s="62" t="s">
        <v>466</v>
      </c>
      <c r="H157" s="62" t="s">
        <v>468</v>
      </c>
      <c r="I157" s="62" t="s">
        <v>469</v>
      </c>
      <c r="J157" s="32">
        <v>2.1</v>
      </c>
      <c r="K157" s="63" t="s">
        <v>658</v>
      </c>
      <c r="L157" s="64" t="s">
        <v>493</v>
      </c>
      <c r="M157" s="64" t="s">
        <v>659</v>
      </c>
      <c r="N157" s="32" t="s">
        <v>782</v>
      </c>
      <c r="O157" s="126"/>
      <c r="P157" s="126"/>
      <c r="Q157" s="126"/>
    </row>
    <row r="158" spans="1:17" ht="28.5" x14ac:dyDescent="0.75">
      <c r="A158" s="61" t="s">
        <v>1000</v>
      </c>
      <c r="B158" s="32" t="s">
        <v>1001</v>
      </c>
      <c r="C158" s="32" t="s">
        <v>663</v>
      </c>
      <c r="D158" s="32" t="s">
        <v>961</v>
      </c>
      <c r="E158" s="32" t="s">
        <v>59</v>
      </c>
      <c r="F158" s="62">
        <v>0.3</v>
      </c>
      <c r="G158" s="62" t="s">
        <v>466</v>
      </c>
      <c r="H158" s="62" t="s">
        <v>468</v>
      </c>
      <c r="I158" s="62" t="s">
        <v>469</v>
      </c>
      <c r="J158" s="32">
        <v>3.1</v>
      </c>
      <c r="K158" s="63" t="s">
        <v>664</v>
      </c>
      <c r="L158" s="64" t="s">
        <v>552</v>
      </c>
      <c r="M158" s="64" t="s">
        <v>659</v>
      </c>
      <c r="N158" s="32" t="s">
        <v>782</v>
      </c>
      <c r="O158" s="126"/>
      <c r="P158" s="126"/>
      <c r="Q158" s="126"/>
    </row>
    <row r="159" spans="1:17" ht="28.5" x14ac:dyDescent="0.75">
      <c r="A159" s="61" t="s">
        <v>1002</v>
      </c>
      <c r="B159" s="32" t="s">
        <v>1003</v>
      </c>
      <c r="C159" s="32" t="s">
        <v>663</v>
      </c>
      <c r="D159" s="32" t="s">
        <v>961</v>
      </c>
      <c r="E159" s="32" t="s">
        <v>58</v>
      </c>
      <c r="F159" s="62">
        <v>0.3</v>
      </c>
      <c r="G159" s="62" t="s">
        <v>466</v>
      </c>
      <c r="H159" s="62" t="s">
        <v>468</v>
      </c>
      <c r="I159" s="62" t="s">
        <v>469</v>
      </c>
      <c r="J159" s="32">
        <v>6.1</v>
      </c>
      <c r="K159" s="63" t="s">
        <v>66</v>
      </c>
      <c r="L159" s="64" t="s">
        <v>597</v>
      </c>
      <c r="M159" s="64" t="s">
        <v>676</v>
      </c>
      <c r="N159" s="32" t="s">
        <v>782</v>
      </c>
      <c r="O159" s="126"/>
      <c r="P159" s="126"/>
      <c r="Q159" s="126"/>
    </row>
    <row r="160" spans="1:17" ht="28.5" x14ac:dyDescent="0.75">
      <c r="A160" s="61" t="s">
        <v>1004</v>
      </c>
      <c r="B160" s="32" t="s">
        <v>1005</v>
      </c>
      <c r="C160" s="32" t="s">
        <v>663</v>
      </c>
      <c r="D160" s="32" t="s">
        <v>961</v>
      </c>
      <c r="E160" s="32" t="s">
        <v>58</v>
      </c>
      <c r="F160" s="62">
        <v>0.3</v>
      </c>
      <c r="G160" s="62" t="s">
        <v>466</v>
      </c>
      <c r="H160" s="62" t="s">
        <v>468</v>
      </c>
      <c r="I160" s="62" t="s">
        <v>469</v>
      </c>
      <c r="J160" s="32">
        <v>6.1</v>
      </c>
      <c r="K160" s="63" t="s">
        <v>66</v>
      </c>
      <c r="L160" s="62" t="s">
        <v>600</v>
      </c>
      <c r="M160" s="62" t="s">
        <v>659</v>
      </c>
      <c r="N160" s="32" t="s">
        <v>782</v>
      </c>
      <c r="O160" s="126"/>
      <c r="P160" s="126"/>
      <c r="Q160" s="126"/>
    </row>
    <row r="161" spans="1:17" ht="228" x14ac:dyDescent="0.75">
      <c r="A161" s="61" t="s">
        <v>1006</v>
      </c>
      <c r="B161" s="32" t="s">
        <v>1007</v>
      </c>
      <c r="C161" s="32" t="s">
        <v>1008</v>
      </c>
      <c r="D161" s="32" t="s">
        <v>961</v>
      </c>
      <c r="E161" s="32" t="s">
        <v>59</v>
      </c>
      <c r="F161" s="32">
        <v>1.2</v>
      </c>
      <c r="G161" s="64" t="s">
        <v>480</v>
      </c>
      <c r="H161" s="64" t="s">
        <v>482</v>
      </c>
      <c r="I161" s="62" t="s">
        <v>483</v>
      </c>
      <c r="J161" s="32">
        <v>2.1</v>
      </c>
      <c r="K161" s="63" t="s">
        <v>658</v>
      </c>
      <c r="L161" s="64" t="s">
        <v>493</v>
      </c>
      <c r="M161" s="62" t="s">
        <v>659</v>
      </c>
      <c r="N161" s="32" t="s">
        <v>782</v>
      </c>
      <c r="O161" s="126"/>
      <c r="P161" s="126"/>
      <c r="Q161" s="126"/>
    </row>
    <row r="162" spans="1:17" ht="185.25" x14ac:dyDescent="0.75">
      <c r="A162" s="61" t="s">
        <v>1009</v>
      </c>
      <c r="B162" s="32" t="s">
        <v>1010</v>
      </c>
      <c r="C162" s="32" t="s">
        <v>1011</v>
      </c>
      <c r="D162" s="32" t="s">
        <v>961</v>
      </c>
      <c r="E162" s="32" t="s">
        <v>59</v>
      </c>
      <c r="F162" s="32">
        <v>1.2</v>
      </c>
      <c r="G162" s="64" t="s">
        <v>480</v>
      </c>
      <c r="H162" s="64" t="s">
        <v>482</v>
      </c>
      <c r="I162" s="62" t="s">
        <v>483</v>
      </c>
      <c r="J162" s="32">
        <v>3.1</v>
      </c>
      <c r="K162" s="63" t="s">
        <v>664</v>
      </c>
      <c r="L162" s="64" t="s">
        <v>552</v>
      </c>
      <c r="M162" s="64" t="s">
        <v>659</v>
      </c>
      <c r="N162" s="32" t="s">
        <v>782</v>
      </c>
      <c r="O162" s="126"/>
      <c r="P162" s="126"/>
      <c r="Q162" s="126"/>
    </row>
    <row r="163" spans="1:17" ht="228" x14ac:dyDescent="0.75">
      <c r="A163" s="61" t="s">
        <v>1012</v>
      </c>
      <c r="B163" s="32" t="s">
        <v>1013</v>
      </c>
      <c r="C163" s="32" t="s">
        <v>1008</v>
      </c>
      <c r="D163" s="32" t="s">
        <v>961</v>
      </c>
      <c r="E163" s="32" t="s">
        <v>59</v>
      </c>
      <c r="F163" s="32">
        <v>1.2</v>
      </c>
      <c r="G163" s="64" t="s">
        <v>480</v>
      </c>
      <c r="H163" s="64" t="s">
        <v>482</v>
      </c>
      <c r="I163" s="62" t="s">
        <v>483</v>
      </c>
      <c r="J163" s="32">
        <v>2.1</v>
      </c>
      <c r="K163" s="63" t="s">
        <v>658</v>
      </c>
      <c r="L163" s="64" t="s">
        <v>493</v>
      </c>
      <c r="M163" s="64" t="s">
        <v>659</v>
      </c>
      <c r="N163" s="32" t="s">
        <v>782</v>
      </c>
      <c r="O163" s="126"/>
      <c r="P163" s="126"/>
      <c r="Q163" s="126"/>
    </row>
    <row r="164" spans="1:17" ht="185.25" x14ac:dyDescent="0.75">
      <c r="A164" s="61" t="s">
        <v>1014</v>
      </c>
      <c r="B164" s="32" t="s">
        <v>1015</v>
      </c>
      <c r="C164" s="32" t="s">
        <v>1011</v>
      </c>
      <c r="D164" s="32" t="s">
        <v>961</v>
      </c>
      <c r="E164" s="32" t="s">
        <v>59</v>
      </c>
      <c r="F164" s="32">
        <v>1.2</v>
      </c>
      <c r="G164" s="64" t="s">
        <v>480</v>
      </c>
      <c r="H164" s="64" t="s">
        <v>482</v>
      </c>
      <c r="I164" s="62" t="s">
        <v>483</v>
      </c>
      <c r="J164" s="32">
        <v>3.1</v>
      </c>
      <c r="K164" s="63" t="s">
        <v>664</v>
      </c>
      <c r="L164" s="64" t="s">
        <v>552</v>
      </c>
      <c r="M164" s="64" t="s">
        <v>659</v>
      </c>
      <c r="N164" s="32" t="s">
        <v>782</v>
      </c>
      <c r="O164" s="126"/>
      <c r="P164" s="126"/>
      <c r="Q164" s="126"/>
    </row>
    <row r="165" spans="1:17" s="72" customFormat="1" ht="28.5" x14ac:dyDescent="0.75">
      <c r="A165" s="61" t="s">
        <v>1016</v>
      </c>
      <c r="B165" s="32" t="s">
        <v>1017</v>
      </c>
      <c r="C165" s="32" t="s">
        <v>663</v>
      </c>
      <c r="D165" s="32" t="s">
        <v>961</v>
      </c>
      <c r="E165" s="32" t="s">
        <v>58</v>
      </c>
      <c r="F165" s="32">
        <v>1.2</v>
      </c>
      <c r="G165" s="64" t="s">
        <v>480</v>
      </c>
      <c r="H165" s="64" t="s">
        <v>488</v>
      </c>
      <c r="I165" s="62" t="s">
        <v>489</v>
      </c>
      <c r="J165" s="32">
        <v>7.1</v>
      </c>
      <c r="K165" s="63" t="s">
        <v>1018</v>
      </c>
      <c r="L165" s="64" t="s">
        <v>1019</v>
      </c>
      <c r="M165" s="64" t="s">
        <v>968</v>
      </c>
      <c r="N165" s="32" t="s">
        <v>782</v>
      </c>
      <c r="O165" s="177"/>
      <c r="P165" s="177"/>
      <c r="Q165" s="177"/>
    </row>
    <row r="166" spans="1:17" s="72" customFormat="1" ht="28.5" x14ac:dyDescent="0.75">
      <c r="A166" s="61" t="s">
        <v>1020</v>
      </c>
      <c r="B166" s="32" t="s">
        <v>1021</v>
      </c>
      <c r="C166" s="32"/>
      <c r="D166" s="32" t="s">
        <v>961</v>
      </c>
      <c r="E166" s="32" t="s">
        <v>58</v>
      </c>
      <c r="F166" s="32">
        <v>1.2</v>
      </c>
      <c r="G166" s="64" t="s">
        <v>480</v>
      </c>
      <c r="H166" s="64" t="s">
        <v>488</v>
      </c>
      <c r="I166" s="62" t="s">
        <v>489</v>
      </c>
      <c r="J166" s="32">
        <v>7.1</v>
      </c>
      <c r="K166" s="63" t="s">
        <v>1018</v>
      </c>
      <c r="L166" s="64" t="s">
        <v>1022</v>
      </c>
      <c r="M166" s="64" t="s">
        <v>659</v>
      </c>
      <c r="N166" s="32" t="s">
        <v>782</v>
      </c>
      <c r="O166" s="177"/>
      <c r="P166" s="177"/>
      <c r="Q166" s="177"/>
    </row>
    <row r="167" spans="1:17" s="72" customFormat="1" ht="42.75" x14ac:dyDescent="0.75">
      <c r="A167" s="61" t="s">
        <v>1023</v>
      </c>
      <c r="B167" s="32" t="s">
        <v>1024</v>
      </c>
      <c r="C167" s="32" t="s">
        <v>1025</v>
      </c>
      <c r="D167" s="32" t="s">
        <v>961</v>
      </c>
      <c r="E167" s="32" t="s">
        <v>58</v>
      </c>
      <c r="F167" s="32">
        <v>1.2</v>
      </c>
      <c r="G167" s="64" t="s">
        <v>480</v>
      </c>
      <c r="H167" s="64" t="s">
        <v>488</v>
      </c>
      <c r="I167" s="62" t="s">
        <v>489</v>
      </c>
      <c r="J167" s="32">
        <v>7.1</v>
      </c>
      <c r="K167" s="63" t="s">
        <v>1018</v>
      </c>
      <c r="L167" s="64" t="s">
        <v>1019</v>
      </c>
      <c r="M167" s="64" t="s">
        <v>968</v>
      </c>
      <c r="N167" s="32" t="s">
        <v>782</v>
      </c>
      <c r="O167" s="177"/>
      <c r="P167" s="177"/>
      <c r="Q167" s="177"/>
    </row>
    <row r="168" spans="1:17" s="72" customFormat="1" ht="28.5" x14ac:dyDescent="0.75">
      <c r="A168" s="61" t="s">
        <v>1026</v>
      </c>
      <c r="B168" s="32" t="s">
        <v>1027</v>
      </c>
      <c r="C168" s="32"/>
      <c r="D168" s="32" t="s">
        <v>961</v>
      </c>
      <c r="E168" s="32" t="s">
        <v>58</v>
      </c>
      <c r="F168" s="32">
        <v>1.2</v>
      </c>
      <c r="G168" s="64" t="s">
        <v>480</v>
      </c>
      <c r="H168" s="64" t="s">
        <v>488</v>
      </c>
      <c r="I168" s="62" t="s">
        <v>489</v>
      </c>
      <c r="J168" s="32">
        <v>9.1</v>
      </c>
      <c r="K168" s="73" t="s">
        <v>1028</v>
      </c>
      <c r="L168" s="62" t="s">
        <v>1029</v>
      </c>
      <c r="M168" s="62" t="s">
        <v>1030</v>
      </c>
      <c r="N168" s="32" t="s">
        <v>782</v>
      </c>
      <c r="O168" s="177"/>
      <c r="P168" s="177"/>
      <c r="Q168" s="177"/>
    </row>
    <row r="169" spans="1:17" ht="28.5" x14ac:dyDescent="0.75">
      <c r="A169" s="61" t="s">
        <v>1031</v>
      </c>
      <c r="B169" s="32" t="s">
        <v>1032</v>
      </c>
      <c r="C169" s="32" t="s">
        <v>663</v>
      </c>
      <c r="D169" s="32" t="s">
        <v>961</v>
      </c>
      <c r="E169" s="32" t="s">
        <v>58</v>
      </c>
      <c r="F169" s="32">
        <v>1.2</v>
      </c>
      <c r="G169" s="64" t="s">
        <v>480</v>
      </c>
      <c r="H169" s="64" t="s">
        <v>482</v>
      </c>
      <c r="I169" s="62" t="s">
        <v>483</v>
      </c>
      <c r="J169" s="32">
        <v>6.1</v>
      </c>
      <c r="K169" s="63" t="s">
        <v>66</v>
      </c>
      <c r="L169" s="64" t="s">
        <v>597</v>
      </c>
      <c r="M169" s="64" t="s">
        <v>676</v>
      </c>
      <c r="N169" s="32" t="s">
        <v>782</v>
      </c>
      <c r="O169" s="126"/>
      <c r="P169" s="126"/>
      <c r="Q169" s="126"/>
    </row>
    <row r="170" spans="1:17" ht="28.5" x14ac:dyDescent="0.75">
      <c r="A170" s="61" t="s">
        <v>1033</v>
      </c>
      <c r="B170" s="32" t="s">
        <v>1034</v>
      </c>
      <c r="C170" s="32" t="s">
        <v>663</v>
      </c>
      <c r="D170" s="32" t="s">
        <v>961</v>
      </c>
      <c r="E170" s="32" t="s">
        <v>58</v>
      </c>
      <c r="F170" s="32">
        <v>1.2</v>
      </c>
      <c r="G170" s="64" t="s">
        <v>480</v>
      </c>
      <c r="H170" s="64" t="s">
        <v>482</v>
      </c>
      <c r="I170" s="62" t="s">
        <v>483</v>
      </c>
      <c r="J170" s="32">
        <v>6.1</v>
      </c>
      <c r="K170" s="66" t="s">
        <v>66</v>
      </c>
      <c r="L170" s="64" t="s">
        <v>600</v>
      </c>
      <c r="M170" s="62" t="s">
        <v>659</v>
      </c>
      <c r="N170" s="32" t="s">
        <v>782</v>
      </c>
      <c r="O170" s="126"/>
      <c r="P170" s="126"/>
      <c r="Q170" s="126"/>
    </row>
    <row r="171" spans="1:17" ht="28.5" x14ac:dyDescent="0.75">
      <c r="A171" s="61" t="s">
        <v>1035</v>
      </c>
      <c r="B171" s="32" t="s">
        <v>1036</v>
      </c>
      <c r="C171" s="32" t="s">
        <v>663</v>
      </c>
      <c r="D171" s="32" t="s">
        <v>961</v>
      </c>
      <c r="E171" s="32" t="s">
        <v>58</v>
      </c>
      <c r="F171" s="32">
        <v>1.2</v>
      </c>
      <c r="G171" s="64" t="s">
        <v>480</v>
      </c>
      <c r="H171" s="64" t="s">
        <v>482</v>
      </c>
      <c r="I171" s="62" t="s">
        <v>483</v>
      </c>
      <c r="J171" s="32">
        <v>7.1</v>
      </c>
      <c r="K171" s="66" t="s">
        <v>1018</v>
      </c>
      <c r="L171" s="62" t="s">
        <v>1022</v>
      </c>
      <c r="M171" s="62" t="s">
        <v>659</v>
      </c>
      <c r="N171" s="32" t="s">
        <v>782</v>
      </c>
      <c r="O171" s="126"/>
      <c r="P171" s="126"/>
      <c r="Q171" s="126"/>
    </row>
    <row r="172" spans="1:17" ht="28.5" x14ac:dyDescent="0.75">
      <c r="A172" s="61" t="s">
        <v>1037</v>
      </c>
      <c r="B172" s="32" t="s">
        <v>1038</v>
      </c>
      <c r="C172" s="32" t="s">
        <v>663</v>
      </c>
      <c r="D172" s="32" t="s">
        <v>961</v>
      </c>
      <c r="E172" s="32" t="s">
        <v>58</v>
      </c>
      <c r="F172" s="32">
        <v>1.2</v>
      </c>
      <c r="G172" s="64" t="s">
        <v>480</v>
      </c>
      <c r="H172" s="64" t="s">
        <v>482</v>
      </c>
      <c r="I172" s="62" t="s">
        <v>483</v>
      </c>
      <c r="J172" s="32">
        <v>7.1</v>
      </c>
      <c r="K172" s="66" t="s">
        <v>1018</v>
      </c>
      <c r="L172" s="62" t="s">
        <v>1022</v>
      </c>
      <c r="M172" s="62" t="s">
        <v>659</v>
      </c>
      <c r="N172" s="32" t="s">
        <v>782</v>
      </c>
      <c r="O172" s="126"/>
      <c r="P172" s="126"/>
      <c r="Q172" s="126"/>
    </row>
    <row r="173" spans="1:17" ht="28.5" x14ac:dyDescent="0.75">
      <c r="A173" s="61" t="s">
        <v>1039</v>
      </c>
      <c r="B173" s="32" t="s">
        <v>1040</v>
      </c>
      <c r="C173" s="32" t="s">
        <v>663</v>
      </c>
      <c r="D173" s="32" t="s">
        <v>961</v>
      </c>
      <c r="E173" s="32" t="s">
        <v>58</v>
      </c>
      <c r="F173" s="32">
        <v>1.2</v>
      </c>
      <c r="G173" s="64" t="s">
        <v>480</v>
      </c>
      <c r="H173" s="64" t="s">
        <v>482</v>
      </c>
      <c r="I173" s="62" t="s">
        <v>483</v>
      </c>
      <c r="J173" s="32">
        <v>7.1</v>
      </c>
      <c r="K173" s="66" t="s">
        <v>1018</v>
      </c>
      <c r="L173" s="62" t="s">
        <v>1022</v>
      </c>
      <c r="M173" s="62" t="s">
        <v>659</v>
      </c>
      <c r="N173" s="32" t="s">
        <v>782</v>
      </c>
      <c r="O173" s="126"/>
      <c r="P173" s="126"/>
      <c r="Q173" s="126"/>
    </row>
    <row r="174" spans="1:17" ht="28.5" x14ac:dyDescent="0.75">
      <c r="A174" s="61" t="s">
        <v>1041</v>
      </c>
      <c r="B174" s="32" t="s">
        <v>1042</v>
      </c>
      <c r="C174" s="32" t="s">
        <v>663</v>
      </c>
      <c r="D174" s="32" t="s">
        <v>961</v>
      </c>
      <c r="E174" s="32" t="s">
        <v>58</v>
      </c>
      <c r="F174" s="32">
        <v>1.2</v>
      </c>
      <c r="G174" s="64" t="s">
        <v>480</v>
      </c>
      <c r="H174" s="64" t="s">
        <v>482</v>
      </c>
      <c r="I174" s="62" t="s">
        <v>483</v>
      </c>
      <c r="J174" s="32">
        <v>7.1</v>
      </c>
      <c r="K174" s="66" t="s">
        <v>1018</v>
      </c>
      <c r="L174" s="62" t="s">
        <v>1022</v>
      </c>
      <c r="M174" s="62" t="s">
        <v>659</v>
      </c>
      <c r="N174" s="32" t="s">
        <v>782</v>
      </c>
      <c r="O174" s="126"/>
      <c r="P174" s="126"/>
      <c r="Q174" s="126"/>
    </row>
    <row r="175" spans="1:17" ht="28.5" x14ac:dyDescent="0.75">
      <c r="A175" s="61" t="s">
        <v>1043</v>
      </c>
      <c r="B175" s="32" t="s">
        <v>1044</v>
      </c>
      <c r="C175" s="32" t="s">
        <v>663</v>
      </c>
      <c r="D175" s="32" t="s">
        <v>961</v>
      </c>
      <c r="E175" s="32" t="s">
        <v>58</v>
      </c>
      <c r="F175" s="32">
        <v>1.2</v>
      </c>
      <c r="G175" s="64" t="s">
        <v>480</v>
      </c>
      <c r="H175" s="64" t="s">
        <v>482</v>
      </c>
      <c r="I175" s="62" t="s">
        <v>483</v>
      </c>
      <c r="J175" s="32">
        <v>7.1</v>
      </c>
      <c r="K175" s="66" t="s">
        <v>1018</v>
      </c>
      <c r="L175" s="62" t="s">
        <v>1022</v>
      </c>
      <c r="M175" s="62" t="s">
        <v>659</v>
      </c>
      <c r="N175" s="32" t="s">
        <v>782</v>
      </c>
      <c r="O175" s="126"/>
      <c r="P175" s="126"/>
      <c r="Q175" s="126"/>
    </row>
    <row r="176" spans="1:17" ht="28.5" x14ac:dyDescent="0.75">
      <c r="A176" s="61" t="s">
        <v>1045</v>
      </c>
      <c r="B176" s="32" t="s">
        <v>1046</v>
      </c>
      <c r="C176" s="32" t="s">
        <v>663</v>
      </c>
      <c r="D176" s="32" t="s">
        <v>961</v>
      </c>
      <c r="E176" s="32" t="s">
        <v>58</v>
      </c>
      <c r="F176" s="32">
        <v>1.2</v>
      </c>
      <c r="G176" s="64" t="s">
        <v>480</v>
      </c>
      <c r="H176" s="64" t="s">
        <v>482</v>
      </c>
      <c r="I176" s="62" t="s">
        <v>483</v>
      </c>
      <c r="J176" s="32">
        <v>7.1</v>
      </c>
      <c r="K176" s="66" t="s">
        <v>1018</v>
      </c>
      <c r="L176" s="62" t="s">
        <v>1022</v>
      </c>
      <c r="M176" s="62" t="s">
        <v>659</v>
      </c>
      <c r="N176" s="32" t="s">
        <v>782</v>
      </c>
      <c r="O176" s="126"/>
      <c r="P176" s="126"/>
      <c r="Q176" s="126"/>
    </row>
    <row r="177" spans="1:17" ht="28.5" x14ac:dyDescent="0.75">
      <c r="A177" s="61" t="s">
        <v>1047</v>
      </c>
      <c r="B177" s="32" t="s">
        <v>1048</v>
      </c>
      <c r="C177" s="32" t="s">
        <v>663</v>
      </c>
      <c r="D177" s="32" t="s">
        <v>961</v>
      </c>
      <c r="E177" s="32" t="s">
        <v>58</v>
      </c>
      <c r="F177" s="32">
        <v>1.2</v>
      </c>
      <c r="G177" s="64" t="s">
        <v>480</v>
      </c>
      <c r="H177" s="62" t="s">
        <v>485</v>
      </c>
      <c r="I177" s="62" t="s">
        <v>486</v>
      </c>
      <c r="J177" s="32">
        <v>7.1</v>
      </c>
      <c r="K177" s="66" t="s">
        <v>1018</v>
      </c>
      <c r="L177" s="62" t="s">
        <v>1022</v>
      </c>
      <c r="M177" s="62" t="s">
        <v>659</v>
      </c>
      <c r="N177" s="32" t="s">
        <v>782</v>
      </c>
      <c r="O177" s="65"/>
      <c r="P177" s="65"/>
      <c r="Q177" s="65"/>
    </row>
    <row r="178" spans="1:17" ht="28.5" x14ac:dyDescent="0.75">
      <c r="A178" s="61" t="s">
        <v>1049</v>
      </c>
      <c r="B178" s="32" t="s">
        <v>1050</v>
      </c>
      <c r="C178" s="32" t="s">
        <v>663</v>
      </c>
      <c r="D178" s="32" t="s">
        <v>961</v>
      </c>
      <c r="E178" s="32" t="s">
        <v>58</v>
      </c>
      <c r="F178" s="32">
        <v>1.2</v>
      </c>
      <c r="G178" s="64" t="s">
        <v>480</v>
      </c>
      <c r="H178" s="62" t="s">
        <v>482</v>
      </c>
      <c r="I178" s="62" t="s">
        <v>483</v>
      </c>
      <c r="J178" s="32">
        <v>7.1</v>
      </c>
      <c r="K178" s="66" t="s">
        <v>1018</v>
      </c>
      <c r="L178" s="62" t="s">
        <v>1051</v>
      </c>
      <c r="M178" s="62" t="s">
        <v>659</v>
      </c>
      <c r="N178" s="32" t="s">
        <v>782</v>
      </c>
      <c r="O178" s="65"/>
      <c r="P178" s="65"/>
      <c r="Q178" s="65"/>
    </row>
    <row r="179" spans="1:17" ht="28.5" x14ac:dyDescent="0.75">
      <c r="A179" s="61" t="s">
        <v>1052</v>
      </c>
      <c r="B179" s="32" t="s">
        <v>1053</v>
      </c>
      <c r="C179" s="32" t="s">
        <v>663</v>
      </c>
      <c r="D179" s="32" t="s">
        <v>961</v>
      </c>
      <c r="E179" s="32" t="s">
        <v>58</v>
      </c>
      <c r="F179" s="32">
        <v>1.2</v>
      </c>
      <c r="G179" s="64" t="s">
        <v>480</v>
      </c>
      <c r="H179" s="62" t="s">
        <v>482</v>
      </c>
      <c r="I179" s="62" t="s">
        <v>483</v>
      </c>
      <c r="J179" s="32">
        <v>7.1</v>
      </c>
      <c r="K179" s="66" t="s">
        <v>1018</v>
      </c>
      <c r="L179" s="62" t="s">
        <v>1051</v>
      </c>
      <c r="M179" s="62" t="s">
        <v>659</v>
      </c>
      <c r="N179" s="32" t="s">
        <v>782</v>
      </c>
      <c r="O179" s="65"/>
      <c r="P179" s="65"/>
      <c r="Q179" s="65"/>
    </row>
    <row r="180" spans="1:17" ht="28.5" x14ac:dyDescent="0.75">
      <c r="A180" s="61" t="s">
        <v>1054</v>
      </c>
      <c r="B180" s="32" t="s">
        <v>1055</v>
      </c>
      <c r="C180" s="68" t="s">
        <v>656</v>
      </c>
      <c r="D180" s="32" t="s">
        <v>961</v>
      </c>
      <c r="E180" s="32" t="s">
        <v>59</v>
      </c>
      <c r="F180" s="32">
        <v>1.2</v>
      </c>
      <c r="G180" s="64" t="s">
        <v>480</v>
      </c>
      <c r="H180" s="64" t="s">
        <v>482</v>
      </c>
      <c r="I180" s="62" t="s">
        <v>483</v>
      </c>
      <c r="J180" s="32">
        <v>2.1</v>
      </c>
      <c r="K180" s="66" t="s">
        <v>658</v>
      </c>
      <c r="L180" s="64" t="s">
        <v>493</v>
      </c>
      <c r="M180" s="64" t="s">
        <v>659</v>
      </c>
      <c r="N180" s="32" t="s">
        <v>782</v>
      </c>
      <c r="O180" s="65"/>
      <c r="P180" s="65"/>
      <c r="Q180" s="65"/>
    </row>
    <row r="181" spans="1:17" ht="28.5" x14ac:dyDescent="0.75">
      <c r="A181" s="61" t="s">
        <v>1056</v>
      </c>
      <c r="B181" s="32" t="s">
        <v>1057</v>
      </c>
      <c r="C181" s="32" t="s">
        <v>663</v>
      </c>
      <c r="D181" s="32" t="s">
        <v>961</v>
      </c>
      <c r="E181" s="32" t="s">
        <v>59</v>
      </c>
      <c r="F181" s="32">
        <v>1.2</v>
      </c>
      <c r="G181" s="64" t="s">
        <v>480</v>
      </c>
      <c r="H181" s="64" t="s">
        <v>482</v>
      </c>
      <c r="I181" s="62" t="s">
        <v>483</v>
      </c>
      <c r="J181" s="32">
        <v>3.1</v>
      </c>
      <c r="K181" s="63" t="s">
        <v>664</v>
      </c>
      <c r="L181" s="64" t="s">
        <v>552</v>
      </c>
      <c r="M181" s="64" t="s">
        <v>659</v>
      </c>
      <c r="N181" s="32" t="s">
        <v>782</v>
      </c>
      <c r="O181" s="65"/>
      <c r="P181" s="65"/>
      <c r="Q181" s="65"/>
    </row>
    <row r="182" spans="1:17" ht="28.5" x14ac:dyDescent="0.75">
      <c r="A182" s="61" t="s">
        <v>1058</v>
      </c>
      <c r="B182" s="32" t="s">
        <v>1059</v>
      </c>
      <c r="C182" s="32" t="s">
        <v>663</v>
      </c>
      <c r="D182" s="32" t="s">
        <v>961</v>
      </c>
      <c r="E182" s="32" t="s">
        <v>58</v>
      </c>
      <c r="F182" s="32">
        <v>1.2</v>
      </c>
      <c r="G182" s="64" t="s">
        <v>480</v>
      </c>
      <c r="H182" s="64" t="s">
        <v>482</v>
      </c>
      <c r="I182" s="62" t="s">
        <v>483</v>
      </c>
      <c r="J182" s="32">
        <v>6.1</v>
      </c>
      <c r="K182" s="63" t="s">
        <v>66</v>
      </c>
      <c r="L182" s="64" t="s">
        <v>597</v>
      </c>
      <c r="M182" s="64" t="s">
        <v>676</v>
      </c>
      <c r="N182" s="32" t="s">
        <v>782</v>
      </c>
      <c r="O182" s="65"/>
      <c r="P182" s="65"/>
      <c r="Q182" s="65"/>
    </row>
    <row r="183" spans="1:17" ht="28.5" x14ac:dyDescent="0.75">
      <c r="A183" s="61" t="s">
        <v>1060</v>
      </c>
      <c r="B183" s="32" t="s">
        <v>1061</v>
      </c>
      <c r="C183" s="32" t="s">
        <v>663</v>
      </c>
      <c r="D183" s="32" t="s">
        <v>961</v>
      </c>
      <c r="E183" s="32" t="s">
        <v>58</v>
      </c>
      <c r="F183" s="32">
        <v>1.2</v>
      </c>
      <c r="G183" s="64" t="s">
        <v>480</v>
      </c>
      <c r="H183" s="64" t="s">
        <v>482</v>
      </c>
      <c r="I183" s="62" t="s">
        <v>483</v>
      </c>
      <c r="J183" s="32">
        <v>6.1</v>
      </c>
      <c r="K183" s="63" t="s">
        <v>66</v>
      </c>
      <c r="L183" s="64" t="s">
        <v>600</v>
      </c>
      <c r="M183" s="62" t="s">
        <v>659</v>
      </c>
      <c r="N183" s="32" t="s">
        <v>782</v>
      </c>
      <c r="O183" s="65"/>
      <c r="P183" s="65"/>
      <c r="Q183" s="65"/>
    </row>
    <row r="184" spans="1:17" ht="28.5" x14ac:dyDescent="0.75">
      <c r="A184" s="61" t="s">
        <v>1062</v>
      </c>
      <c r="B184" s="32" t="s">
        <v>1063</v>
      </c>
      <c r="C184" s="68" t="s">
        <v>656</v>
      </c>
      <c r="D184" s="32" t="s">
        <v>961</v>
      </c>
      <c r="E184" s="32" t="s">
        <v>59</v>
      </c>
      <c r="F184" s="32">
        <v>1.2</v>
      </c>
      <c r="G184" s="64" t="s">
        <v>480</v>
      </c>
      <c r="H184" s="64" t="s">
        <v>485</v>
      </c>
      <c r="I184" s="62" t="s">
        <v>486</v>
      </c>
      <c r="J184" s="32">
        <v>2.1</v>
      </c>
      <c r="K184" s="63" t="s">
        <v>658</v>
      </c>
      <c r="L184" s="64" t="s">
        <v>493</v>
      </c>
      <c r="M184" s="64" t="s">
        <v>659</v>
      </c>
      <c r="N184" s="32" t="s">
        <v>782</v>
      </c>
      <c r="O184" s="65"/>
      <c r="P184" s="65"/>
      <c r="Q184" s="65"/>
    </row>
    <row r="185" spans="1:17" ht="28.5" x14ac:dyDescent="0.75">
      <c r="A185" s="61" t="s">
        <v>1064</v>
      </c>
      <c r="B185" s="32" t="s">
        <v>1065</v>
      </c>
      <c r="C185" s="32" t="s">
        <v>663</v>
      </c>
      <c r="D185" s="32" t="s">
        <v>961</v>
      </c>
      <c r="E185" s="32" t="s">
        <v>59</v>
      </c>
      <c r="F185" s="32">
        <v>1.2</v>
      </c>
      <c r="G185" s="64" t="s">
        <v>480</v>
      </c>
      <c r="H185" s="64" t="s">
        <v>485</v>
      </c>
      <c r="I185" s="62" t="s">
        <v>486</v>
      </c>
      <c r="J185" s="32">
        <v>3.1</v>
      </c>
      <c r="K185" s="63" t="s">
        <v>664</v>
      </c>
      <c r="L185" s="64" t="s">
        <v>552</v>
      </c>
      <c r="M185" s="64" t="s">
        <v>659</v>
      </c>
      <c r="N185" s="32" t="s">
        <v>782</v>
      </c>
      <c r="O185" s="65"/>
      <c r="P185" s="65"/>
      <c r="Q185" s="65"/>
    </row>
    <row r="186" spans="1:17" ht="28.5" x14ac:dyDescent="0.75">
      <c r="A186" s="61" t="s">
        <v>1066</v>
      </c>
      <c r="B186" s="32" t="s">
        <v>1067</v>
      </c>
      <c r="C186" s="32" t="s">
        <v>663</v>
      </c>
      <c r="D186" s="32" t="s">
        <v>961</v>
      </c>
      <c r="E186" s="32" t="s">
        <v>58</v>
      </c>
      <c r="F186" s="32">
        <v>1.2</v>
      </c>
      <c r="G186" s="64" t="s">
        <v>480</v>
      </c>
      <c r="H186" s="64" t="s">
        <v>485</v>
      </c>
      <c r="I186" s="62" t="s">
        <v>486</v>
      </c>
      <c r="J186" s="32">
        <v>7.1</v>
      </c>
      <c r="K186" s="63" t="s">
        <v>1018</v>
      </c>
      <c r="L186" s="64" t="s">
        <v>1022</v>
      </c>
      <c r="M186" s="64" t="s">
        <v>659</v>
      </c>
      <c r="N186" s="32" t="s">
        <v>782</v>
      </c>
      <c r="O186" s="65"/>
      <c r="P186" s="65"/>
      <c r="Q186" s="65"/>
    </row>
    <row r="187" spans="1:17" ht="57" x14ac:dyDescent="0.75">
      <c r="A187" s="61" t="s">
        <v>1068</v>
      </c>
      <c r="B187" s="32" t="s">
        <v>1069</v>
      </c>
      <c r="C187" s="32" t="s">
        <v>1070</v>
      </c>
      <c r="D187" s="32" t="s">
        <v>961</v>
      </c>
      <c r="E187" s="32" t="s">
        <v>58</v>
      </c>
      <c r="F187" s="32">
        <v>1.2</v>
      </c>
      <c r="G187" s="64" t="s">
        <v>480</v>
      </c>
      <c r="H187" s="64" t="s">
        <v>485</v>
      </c>
      <c r="I187" s="62" t="s">
        <v>486</v>
      </c>
      <c r="J187" s="32">
        <v>7.1</v>
      </c>
      <c r="K187" s="63" t="s">
        <v>1018</v>
      </c>
      <c r="L187" s="64" t="s">
        <v>1022</v>
      </c>
      <c r="M187" s="64" t="s">
        <v>659</v>
      </c>
      <c r="N187" s="32" t="s">
        <v>782</v>
      </c>
      <c r="O187" s="65"/>
      <c r="P187" s="65"/>
      <c r="Q187" s="65"/>
    </row>
    <row r="188" spans="1:17" ht="28.5" x14ac:dyDescent="0.75">
      <c r="A188" s="61" t="s">
        <v>1071</v>
      </c>
      <c r="B188" s="32" t="s">
        <v>1072</v>
      </c>
      <c r="C188" s="32" t="s">
        <v>663</v>
      </c>
      <c r="D188" s="32" t="s">
        <v>961</v>
      </c>
      <c r="E188" s="32" t="s">
        <v>58</v>
      </c>
      <c r="F188" s="32">
        <v>1.2</v>
      </c>
      <c r="G188" s="64" t="s">
        <v>480</v>
      </c>
      <c r="H188" s="64" t="s">
        <v>485</v>
      </c>
      <c r="I188" s="62" t="s">
        <v>486</v>
      </c>
      <c r="J188" s="32">
        <v>7.1</v>
      </c>
      <c r="K188" s="66" t="s">
        <v>1018</v>
      </c>
      <c r="L188" s="62" t="s">
        <v>1051</v>
      </c>
      <c r="M188" s="62" t="s">
        <v>659</v>
      </c>
      <c r="N188" s="32" t="s">
        <v>782</v>
      </c>
      <c r="O188" s="65"/>
      <c r="P188" s="65"/>
      <c r="Q188" s="65"/>
    </row>
    <row r="189" spans="1:17" ht="28.5" x14ac:dyDescent="0.75">
      <c r="A189" s="61" t="s">
        <v>1073</v>
      </c>
      <c r="B189" s="32" t="s">
        <v>1074</v>
      </c>
      <c r="C189" s="68"/>
      <c r="D189" s="32" t="s">
        <v>961</v>
      </c>
      <c r="E189" s="32" t="s">
        <v>58</v>
      </c>
      <c r="F189" s="32">
        <v>1.2</v>
      </c>
      <c r="G189" s="64" t="s">
        <v>480</v>
      </c>
      <c r="H189" s="64" t="s">
        <v>485</v>
      </c>
      <c r="I189" s="62" t="s">
        <v>486</v>
      </c>
      <c r="J189" s="32">
        <v>7.1</v>
      </c>
      <c r="K189" s="63" t="s">
        <v>1018</v>
      </c>
      <c r="L189" s="64" t="s">
        <v>1022</v>
      </c>
      <c r="M189" s="64" t="s">
        <v>659</v>
      </c>
      <c r="N189" s="32" t="s">
        <v>782</v>
      </c>
      <c r="O189" s="65"/>
      <c r="P189" s="65"/>
      <c r="Q189" s="65"/>
    </row>
    <row r="190" spans="1:17" ht="370.5" x14ac:dyDescent="0.75">
      <c r="A190" s="61" t="s">
        <v>1075</v>
      </c>
      <c r="B190" s="32" t="s">
        <v>1076</v>
      </c>
      <c r="C190" s="32" t="s">
        <v>1077</v>
      </c>
      <c r="D190" s="32" t="s">
        <v>961</v>
      </c>
      <c r="E190" s="32" t="s">
        <v>59</v>
      </c>
      <c r="F190" s="32">
        <v>1.2</v>
      </c>
      <c r="G190" s="64" t="s">
        <v>480</v>
      </c>
      <c r="H190" s="64" t="s">
        <v>488</v>
      </c>
      <c r="I190" s="62" t="s">
        <v>489</v>
      </c>
      <c r="J190" s="32">
        <v>2.1</v>
      </c>
      <c r="K190" s="63" t="s">
        <v>658</v>
      </c>
      <c r="L190" s="64" t="s">
        <v>493</v>
      </c>
      <c r="M190" s="64" t="s">
        <v>659</v>
      </c>
      <c r="N190" s="32" t="s">
        <v>782</v>
      </c>
      <c r="O190" s="65"/>
      <c r="P190" s="65"/>
      <c r="Q190" s="65"/>
    </row>
    <row r="191" spans="1:17" ht="185.25" x14ac:dyDescent="0.75">
      <c r="A191" s="61" t="s">
        <v>1078</v>
      </c>
      <c r="B191" s="32" t="s">
        <v>1079</v>
      </c>
      <c r="C191" s="32" t="s">
        <v>1011</v>
      </c>
      <c r="D191" s="32" t="s">
        <v>961</v>
      </c>
      <c r="E191" s="32" t="s">
        <v>59</v>
      </c>
      <c r="F191" s="32">
        <v>1.2</v>
      </c>
      <c r="G191" s="64" t="s">
        <v>480</v>
      </c>
      <c r="H191" s="64" t="s">
        <v>488</v>
      </c>
      <c r="I191" s="62" t="s">
        <v>489</v>
      </c>
      <c r="J191" s="32">
        <v>3.1</v>
      </c>
      <c r="K191" s="63" t="s">
        <v>664</v>
      </c>
      <c r="L191" s="64" t="s">
        <v>552</v>
      </c>
      <c r="M191" s="64" t="s">
        <v>659</v>
      </c>
      <c r="N191" s="32" t="s">
        <v>782</v>
      </c>
      <c r="O191" s="65"/>
      <c r="P191" s="65"/>
      <c r="Q191" s="65"/>
    </row>
    <row r="192" spans="1:17" ht="228" x14ac:dyDescent="0.75">
      <c r="A192" s="61" t="s">
        <v>1080</v>
      </c>
      <c r="B192" s="32" t="s">
        <v>1081</v>
      </c>
      <c r="C192" s="32" t="s">
        <v>1008</v>
      </c>
      <c r="D192" s="32" t="s">
        <v>961</v>
      </c>
      <c r="E192" s="32" t="s">
        <v>59</v>
      </c>
      <c r="F192" s="32">
        <v>1.2</v>
      </c>
      <c r="G192" s="64" t="s">
        <v>480</v>
      </c>
      <c r="H192" s="64" t="s">
        <v>488</v>
      </c>
      <c r="I192" s="62" t="s">
        <v>489</v>
      </c>
      <c r="J192" s="32">
        <v>2.1</v>
      </c>
      <c r="K192" s="63" t="s">
        <v>658</v>
      </c>
      <c r="L192" s="64" t="s">
        <v>493</v>
      </c>
      <c r="M192" s="64" t="s">
        <v>659</v>
      </c>
      <c r="N192" s="32" t="s">
        <v>782</v>
      </c>
      <c r="O192" s="65"/>
      <c r="P192" s="65"/>
      <c r="Q192" s="65"/>
    </row>
    <row r="193" spans="1:17" ht="185.25" x14ac:dyDescent="0.75">
      <c r="A193" s="61" t="s">
        <v>1082</v>
      </c>
      <c r="B193" s="32" t="s">
        <v>1083</v>
      </c>
      <c r="C193" s="32" t="s">
        <v>1011</v>
      </c>
      <c r="D193" s="32" t="s">
        <v>961</v>
      </c>
      <c r="E193" s="32" t="s">
        <v>59</v>
      </c>
      <c r="F193" s="32">
        <v>1.2</v>
      </c>
      <c r="G193" s="64" t="s">
        <v>480</v>
      </c>
      <c r="H193" s="64" t="s">
        <v>488</v>
      </c>
      <c r="I193" s="62" t="s">
        <v>489</v>
      </c>
      <c r="J193" s="32">
        <v>3.1</v>
      </c>
      <c r="K193" s="63" t="s">
        <v>664</v>
      </c>
      <c r="L193" s="64" t="s">
        <v>552</v>
      </c>
      <c r="M193" s="64" t="s">
        <v>659</v>
      </c>
      <c r="N193" s="32" t="s">
        <v>782</v>
      </c>
      <c r="O193" s="65"/>
      <c r="P193" s="65"/>
      <c r="Q193" s="65"/>
    </row>
    <row r="194" spans="1:17" ht="28.5" x14ac:dyDescent="0.75">
      <c r="A194" s="61" t="s">
        <v>1084</v>
      </c>
      <c r="B194" s="32" t="s">
        <v>1085</v>
      </c>
      <c r="C194" s="32" t="s">
        <v>663</v>
      </c>
      <c r="D194" s="32" t="s">
        <v>961</v>
      </c>
      <c r="E194" s="32" t="s">
        <v>58</v>
      </c>
      <c r="F194" s="62">
        <v>0.3</v>
      </c>
      <c r="G194" s="62" t="s">
        <v>452</v>
      </c>
      <c r="H194" s="62" t="s">
        <v>460</v>
      </c>
      <c r="I194" s="62" t="s">
        <v>461</v>
      </c>
      <c r="J194" s="32">
        <v>4.0999999999999996</v>
      </c>
      <c r="K194" s="63" t="s">
        <v>967</v>
      </c>
      <c r="L194" s="64" t="s">
        <v>569</v>
      </c>
      <c r="M194" s="64" t="s">
        <v>659</v>
      </c>
      <c r="N194" s="32" t="s">
        <v>880</v>
      </c>
      <c r="O194" s="65"/>
      <c r="P194" s="65"/>
      <c r="Q194" s="65"/>
    </row>
    <row r="195" spans="1:17" ht="28.5" x14ac:dyDescent="0.75">
      <c r="A195" s="61" t="s">
        <v>1086</v>
      </c>
      <c r="B195" s="32" t="s">
        <v>1087</v>
      </c>
      <c r="C195" s="32" t="s">
        <v>663</v>
      </c>
      <c r="D195" s="32" t="s">
        <v>961</v>
      </c>
      <c r="E195" s="32" t="s">
        <v>58</v>
      </c>
      <c r="F195" s="62">
        <v>0.3</v>
      </c>
      <c r="G195" s="62" t="s">
        <v>452</v>
      </c>
      <c r="H195" s="62" t="s">
        <v>460</v>
      </c>
      <c r="I195" s="62" t="s">
        <v>461</v>
      </c>
      <c r="J195" s="32">
        <v>4.0999999999999996</v>
      </c>
      <c r="K195" s="63" t="s">
        <v>967</v>
      </c>
      <c r="L195" s="64" t="s">
        <v>569</v>
      </c>
      <c r="M195" s="64" t="s">
        <v>659</v>
      </c>
      <c r="N195" s="32" t="s">
        <v>880</v>
      </c>
      <c r="O195" s="65"/>
      <c r="P195" s="65"/>
      <c r="Q195" s="65"/>
    </row>
    <row r="196" spans="1:17" ht="28.5" x14ac:dyDescent="0.75">
      <c r="A196" s="61" t="s">
        <v>1088</v>
      </c>
      <c r="B196" s="32" t="s">
        <v>1089</v>
      </c>
      <c r="C196" s="32" t="s">
        <v>663</v>
      </c>
      <c r="D196" s="32" t="s">
        <v>961</v>
      </c>
      <c r="E196" s="32" t="s">
        <v>58</v>
      </c>
      <c r="F196" s="32">
        <v>2.2000000000000002</v>
      </c>
      <c r="G196" s="64" t="s">
        <v>511</v>
      </c>
      <c r="H196" s="62" t="s">
        <v>516</v>
      </c>
      <c r="I196" s="62" t="s">
        <v>517</v>
      </c>
      <c r="J196" s="32">
        <v>4.0999999999999996</v>
      </c>
      <c r="K196" s="63" t="s">
        <v>967</v>
      </c>
      <c r="L196" s="64" t="s">
        <v>569</v>
      </c>
      <c r="M196" s="64" t="s">
        <v>659</v>
      </c>
      <c r="N196" s="32" t="s">
        <v>880</v>
      </c>
      <c r="O196" s="65"/>
      <c r="P196" s="65"/>
      <c r="Q196" s="65"/>
    </row>
    <row r="197" spans="1:17" ht="28.5" x14ac:dyDescent="0.75">
      <c r="A197" s="61" t="s">
        <v>1090</v>
      </c>
      <c r="B197" s="32" t="s">
        <v>1091</v>
      </c>
      <c r="C197" s="32" t="s">
        <v>663</v>
      </c>
      <c r="D197" s="32" t="s">
        <v>961</v>
      </c>
      <c r="E197" s="32" t="s">
        <v>58</v>
      </c>
      <c r="F197" s="32">
        <v>1.2</v>
      </c>
      <c r="G197" s="64" t="s">
        <v>480</v>
      </c>
      <c r="H197" s="62" t="s">
        <v>482</v>
      </c>
      <c r="I197" s="62" t="s">
        <v>483</v>
      </c>
      <c r="J197" s="32">
        <v>7.1</v>
      </c>
      <c r="K197" s="63" t="s">
        <v>1018</v>
      </c>
      <c r="L197" s="64" t="s">
        <v>1019</v>
      </c>
      <c r="M197" s="64" t="s">
        <v>968</v>
      </c>
      <c r="N197" s="32" t="s">
        <v>880</v>
      </c>
      <c r="O197" s="65"/>
      <c r="P197" s="65"/>
      <c r="Q197" s="65"/>
    </row>
    <row r="198" spans="1:17" ht="28.5" x14ac:dyDescent="0.75">
      <c r="A198" s="61" t="s">
        <v>1092</v>
      </c>
      <c r="B198" s="32" t="s">
        <v>1093</v>
      </c>
      <c r="C198" s="32" t="s">
        <v>663</v>
      </c>
      <c r="D198" s="32" t="s">
        <v>961</v>
      </c>
      <c r="E198" s="32" t="s">
        <v>58</v>
      </c>
      <c r="F198" s="32">
        <v>1.2</v>
      </c>
      <c r="G198" s="64" t="s">
        <v>480</v>
      </c>
      <c r="H198" s="62" t="s">
        <v>482</v>
      </c>
      <c r="I198" s="62" t="s">
        <v>483</v>
      </c>
      <c r="J198" s="32">
        <v>7.1</v>
      </c>
      <c r="K198" s="63" t="s">
        <v>1018</v>
      </c>
      <c r="L198" s="64" t="s">
        <v>1019</v>
      </c>
      <c r="M198" s="64" t="s">
        <v>968</v>
      </c>
      <c r="N198" s="32" t="s">
        <v>782</v>
      </c>
      <c r="O198" s="65"/>
      <c r="P198" s="65"/>
      <c r="Q198" s="65"/>
    </row>
    <row r="199" spans="1:17" ht="28.5" x14ac:dyDescent="0.75">
      <c r="A199" s="61" t="s">
        <v>1094</v>
      </c>
      <c r="B199" s="32" t="s">
        <v>1095</v>
      </c>
      <c r="C199" s="32" t="s">
        <v>663</v>
      </c>
      <c r="D199" s="32" t="s">
        <v>961</v>
      </c>
      <c r="E199" s="32" t="s">
        <v>58</v>
      </c>
      <c r="F199" s="32">
        <v>1.2</v>
      </c>
      <c r="G199" s="64" t="s">
        <v>480</v>
      </c>
      <c r="H199" s="64" t="s">
        <v>488</v>
      </c>
      <c r="I199" s="62" t="s">
        <v>489</v>
      </c>
      <c r="J199" s="32">
        <v>7.1</v>
      </c>
      <c r="K199" s="63" t="s">
        <v>1018</v>
      </c>
      <c r="L199" s="64" t="s">
        <v>1019</v>
      </c>
      <c r="M199" s="64" t="s">
        <v>968</v>
      </c>
      <c r="N199" s="32" t="s">
        <v>782</v>
      </c>
      <c r="O199" s="65"/>
      <c r="P199" s="65"/>
      <c r="Q199" s="65"/>
    </row>
    <row r="200" spans="1:17" ht="28.5" x14ac:dyDescent="0.75">
      <c r="A200" s="61" t="s">
        <v>1096</v>
      </c>
      <c r="B200" s="32" t="s">
        <v>944</v>
      </c>
      <c r="C200" s="68" t="s">
        <v>656</v>
      </c>
      <c r="D200" s="32" t="s">
        <v>961</v>
      </c>
      <c r="E200" s="32" t="s">
        <v>59</v>
      </c>
      <c r="F200" s="32">
        <v>1.1000000000000001</v>
      </c>
      <c r="G200" s="62" t="s">
        <v>466</v>
      </c>
      <c r="H200" s="62" t="s">
        <v>468</v>
      </c>
      <c r="I200" s="62" t="s">
        <v>469</v>
      </c>
      <c r="J200" s="32">
        <v>2.1</v>
      </c>
      <c r="K200" s="63" t="s">
        <v>658</v>
      </c>
      <c r="L200" s="64" t="s">
        <v>493</v>
      </c>
      <c r="M200" s="64" t="s">
        <v>659</v>
      </c>
      <c r="N200" s="32" t="s">
        <v>767</v>
      </c>
      <c r="O200" s="65"/>
      <c r="P200" s="65"/>
      <c r="Q200" s="65"/>
    </row>
    <row r="201" spans="1:17" ht="28.5" x14ac:dyDescent="0.75">
      <c r="A201" s="61" t="s">
        <v>1097</v>
      </c>
      <c r="B201" s="32" t="s">
        <v>946</v>
      </c>
      <c r="C201" s="32" t="s">
        <v>663</v>
      </c>
      <c r="D201" s="32" t="s">
        <v>961</v>
      </c>
      <c r="E201" s="32" t="s">
        <v>59</v>
      </c>
      <c r="F201" s="32">
        <v>1.1000000000000001</v>
      </c>
      <c r="G201" s="62" t="s">
        <v>466</v>
      </c>
      <c r="H201" s="62" t="s">
        <v>468</v>
      </c>
      <c r="I201" s="62" t="s">
        <v>469</v>
      </c>
      <c r="J201" s="32">
        <v>3.1</v>
      </c>
      <c r="K201" s="63" t="s">
        <v>664</v>
      </c>
      <c r="L201" s="64" t="s">
        <v>552</v>
      </c>
      <c r="M201" s="64" t="s">
        <v>659</v>
      </c>
      <c r="N201" s="32" t="s">
        <v>767</v>
      </c>
      <c r="O201" s="65"/>
      <c r="P201" s="65"/>
      <c r="Q201" s="65"/>
    </row>
    <row r="202" spans="1:17" ht="42.75" x14ac:dyDescent="0.75">
      <c r="A202" s="61" t="s">
        <v>1098</v>
      </c>
      <c r="B202" s="32" t="s">
        <v>948</v>
      </c>
      <c r="C202" s="68" t="s">
        <v>656</v>
      </c>
      <c r="D202" s="32" t="s">
        <v>961</v>
      </c>
      <c r="E202" s="32" t="s">
        <v>59</v>
      </c>
      <c r="F202" s="62">
        <v>0.1</v>
      </c>
      <c r="G202" s="62" t="s">
        <v>415</v>
      </c>
      <c r="H202" s="69" t="s">
        <v>429</v>
      </c>
      <c r="I202" s="69" t="s">
        <v>430</v>
      </c>
      <c r="J202" s="32">
        <v>2.1</v>
      </c>
      <c r="K202" s="63" t="s">
        <v>658</v>
      </c>
      <c r="L202" s="64" t="s">
        <v>493</v>
      </c>
      <c r="M202" s="64" t="s">
        <v>659</v>
      </c>
      <c r="O202" s="126"/>
      <c r="P202" s="126"/>
      <c r="Q202" s="126"/>
    </row>
    <row r="203" spans="1:17" ht="42.75" x14ac:dyDescent="0.75">
      <c r="A203" s="61" t="s">
        <v>1099</v>
      </c>
      <c r="B203" s="32" t="s">
        <v>950</v>
      </c>
      <c r="C203" s="32" t="s">
        <v>663</v>
      </c>
      <c r="D203" s="32" t="s">
        <v>961</v>
      </c>
      <c r="E203" s="32" t="s">
        <v>59</v>
      </c>
      <c r="F203" s="62">
        <v>0.1</v>
      </c>
      <c r="G203" s="62" t="s">
        <v>415</v>
      </c>
      <c r="H203" s="69" t="s">
        <v>429</v>
      </c>
      <c r="I203" s="69" t="s">
        <v>430</v>
      </c>
      <c r="J203" s="32">
        <v>3.1</v>
      </c>
      <c r="K203" s="63" t="s">
        <v>664</v>
      </c>
      <c r="L203" s="64" t="s">
        <v>552</v>
      </c>
      <c r="M203" s="64" t="s">
        <v>659</v>
      </c>
      <c r="O203" s="126"/>
      <c r="P203" s="126"/>
      <c r="Q203" s="126"/>
    </row>
    <row r="204" spans="1:17" ht="28.5" x14ac:dyDescent="0.75">
      <c r="A204" s="61" t="s">
        <v>1100</v>
      </c>
      <c r="B204" s="32" t="s">
        <v>952</v>
      </c>
      <c r="C204" s="68" t="s">
        <v>656</v>
      </c>
      <c r="D204" s="32" t="s">
        <v>961</v>
      </c>
      <c r="E204" s="32" t="s">
        <v>59</v>
      </c>
      <c r="F204" s="62">
        <v>0.1</v>
      </c>
      <c r="G204" s="62" t="s">
        <v>415</v>
      </c>
      <c r="H204" s="69" t="s">
        <v>432</v>
      </c>
      <c r="I204" s="69" t="s">
        <v>433</v>
      </c>
      <c r="J204" s="32">
        <v>2.1</v>
      </c>
      <c r="K204" s="63" t="s">
        <v>658</v>
      </c>
      <c r="L204" s="64" t="s">
        <v>493</v>
      </c>
      <c r="M204" s="64" t="s">
        <v>659</v>
      </c>
      <c r="O204" s="126"/>
      <c r="P204" s="126"/>
      <c r="Q204" s="126"/>
    </row>
    <row r="205" spans="1:17" ht="28.5" x14ac:dyDescent="0.75">
      <c r="A205" s="61" t="s">
        <v>1101</v>
      </c>
      <c r="B205" s="32" t="s">
        <v>954</v>
      </c>
      <c r="C205" s="32" t="s">
        <v>663</v>
      </c>
      <c r="D205" s="32" t="s">
        <v>961</v>
      </c>
      <c r="E205" s="32" t="s">
        <v>59</v>
      </c>
      <c r="F205" s="62">
        <v>0.1</v>
      </c>
      <c r="G205" s="62" t="s">
        <v>415</v>
      </c>
      <c r="H205" s="69" t="s">
        <v>432</v>
      </c>
      <c r="I205" s="69" t="s">
        <v>433</v>
      </c>
      <c r="J205" s="32">
        <v>3.1</v>
      </c>
      <c r="K205" s="63" t="s">
        <v>664</v>
      </c>
      <c r="L205" s="64" t="s">
        <v>552</v>
      </c>
      <c r="M205" s="64" t="s">
        <v>659</v>
      </c>
      <c r="O205" s="126"/>
      <c r="P205" s="126"/>
      <c r="Q205" s="126"/>
    </row>
    <row r="206" spans="1:17" ht="42.75" x14ac:dyDescent="0.75">
      <c r="A206" s="61" t="s">
        <v>1102</v>
      </c>
      <c r="B206" s="32" t="s">
        <v>956</v>
      </c>
      <c r="C206" s="68" t="s">
        <v>656</v>
      </c>
      <c r="D206" s="32" t="s">
        <v>961</v>
      </c>
      <c r="E206" s="32" t="s">
        <v>59</v>
      </c>
      <c r="F206" s="62">
        <v>0.1</v>
      </c>
      <c r="G206" s="62" t="s">
        <v>415</v>
      </c>
      <c r="H206" s="69" t="s">
        <v>429</v>
      </c>
      <c r="I206" s="69" t="s">
        <v>430</v>
      </c>
      <c r="J206" s="32">
        <v>2.1</v>
      </c>
      <c r="K206" s="63" t="s">
        <v>658</v>
      </c>
      <c r="L206" s="64" t="s">
        <v>493</v>
      </c>
      <c r="M206" s="64" t="s">
        <v>659</v>
      </c>
      <c r="N206" s="32" t="s">
        <v>801</v>
      </c>
      <c r="O206" s="126"/>
      <c r="P206" s="126"/>
      <c r="Q206" s="126"/>
    </row>
    <row r="207" spans="1:17" ht="42.75" x14ac:dyDescent="0.75">
      <c r="A207" s="61" t="s">
        <v>1103</v>
      </c>
      <c r="B207" s="32" t="s">
        <v>958</v>
      </c>
      <c r="C207" s="32" t="s">
        <v>663</v>
      </c>
      <c r="D207" s="32" t="s">
        <v>961</v>
      </c>
      <c r="E207" s="32" t="s">
        <v>59</v>
      </c>
      <c r="F207" s="62">
        <v>0.1</v>
      </c>
      <c r="G207" s="62" t="s">
        <v>415</v>
      </c>
      <c r="H207" s="69" t="s">
        <v>429</v>
      </c>
      <c r="I207" s="69" t="s">
        <v>430</v>
      </c>
      <c r="J207" s="32">
        <v>3.1</v>
      </c>
      <c r="K207" s="63" t="s">
        <v>664</v>
      </c>
      <c r="L207" s="64" t="s">
        <v>552</v>
      </c>
      <c r="M207" s="64" t="s">
        <v>659</v>
      </c>
      <c r="N207" s="32" t="s">
        <v>801</v>
      </c>
      <c r="O207" s="126"/>
      <c r="P207" s="126"/>
      <c r="Q207" s="126"/>
    </row>
    <row r="208" spans="1:17" ht="28.5" x14ac:dyDescent="0.75">
      <c r="A208" s="61" t="s">
        <v>1104</v>
      </c>
      <c r="B208" s="32" t="s">
        <v>1105</v>
      </c>
      <c r="C208" s="32" t="s">
        <v>656</v>
      </c>
      <c r="D208" s="32" t="s">
        <v>1106</v>
      </c>
      <c r="E208" s="32" t="s">
        <v>59</v>
      </c>
      <c r="F208" s="32">
        <v>2.1</v>
      </c>
      <c r="G208" s="64" t="s">
        <v>491</v>
      </c>
      <c r="H208" s="62" t="s">
        <v>493</v>
      </c>
      <c r="I208" s="62" t="s">
        <v>494</v>
      </c>
      <c r="J208" s="32">
        <v>2.1</v>
      </c>
      <c r="K208" s="63" t="s">
        <v>658</v>
      </c>
      <c r="L208" s="64" t="s">
        <v>493</v>
      </c>
      <c r="M208" s="64" t="s">
        <v>659</v>
      </c>
      <c r="N208" s="32" t="s">
        <v>782</v>
      </c>
      <c r="O208" s="126"/>
      <c r="P208" s="126"/>
      <c r="Q208" s="126"/>
    </row>
    <row r="209" spans="1:17" ht="28.5" x14ac:dyDescent="0.75">
      <c r="A209" s="61" t="s">
        <v>1107</v>
      </c>
      <c r="B209" s="32" t="s">
        <v>1108</v>
      </c>
      <c r="C209" s="32" t="s">
        <v>663</v>
      </c>
      <c r="D209" s="32" t="s">
        <v>1106</v>
      </c>
      <c r="E209" s="32" t="s">
        <v>59</v>
      </c>
      <c r="F209" s="32">
        <v>2.1</v>
      </c>
      <c r="G209" s="64" t="s">
        <v>491</v>
      </c>
      <c r="H209" s="62" t="s">
        <v>493</v>
      </c>
      <c r="I209" s="62" t="s">
        <v>494</v>
      </c>
      <c r="J209" s="32">
        <v>3.1</v>
      </c>
      <c r="K209" s="63" t="s">
        <v>664</v>
      </c>
      <c r="L209" s="64" t="s">
        <v>552</v>
      </c>
      <c r="M209" s="64" t="s">
        <v>659</v>
      </c>
      <c r="N209" s="32" t="s">
        <v>782</v>
      </c>
      <c r="O209" s="126"/>
      <c r="P209" s="126"/>
      <c r="Q209" s="126"/>
    </row>
    <row r="210" spans="1:17" ht="114" x14ac:dyDescent="0.75">
      <c r="A210" s="61" t="s">
        <v>1109</v>
      </c>
      <c r="B210" s="32" t="s">
        <v>1110</v>
      </c>
      <c r="C210" s="32" t="s">
        <v>1111</v>
      </c>
      <c r="D210" s="32" t="s">
        <v>1106</v>
      </c>
      <c r="E210" s="32" t="s">
        <v>59</v>
      </c>
      <c r="F210" s="32">
        <v>4.0999999999999996</v>
      </c>
      <c r="G210" s="64" t="s">
        <v>567</v>
      </c>
      <c r="H210" s="64" t="s">
        <v>569</v>
      </c>
      <c r="I210" s="62" t="s">
        <v>570</v>
      </c>
      <c r="J210" s="32">
        <v>2.1</v>
      </c>
      <c r="K210" s="63" t="s">
        <v>658</v>
      </c>
      <c r="L210" s="64" t="s">
        <v>493</v>
      </c>
      <c r="M210" s="64" t="s">
        <v>659</v>
      </c>
      <c r="N210" s="32" t="s">
        <v>782</v>
      </c>
      <c r="O210" s="126"/>
      <c r="P210" s="126"/>
      <c r="Q210" s="126"/>
    </row>
    <row r="211" spans="1:17" ht="71.25" x14ac:dyDescent="0.75">
      <c r="A211" s="61" t="s">
        <v>1112</v>
      </c>
      <c r="B211" s="32" t="s">
        <v>1113</v>
      </c>
      <c r="C211" s="32" t="s">
        <v>1114</v>
      </c>
      <c r="D211" s="32" t="s">
        <v>1106</v>
      </c>
      <c r="E211" s="32" t="s">
        <v>59</v>
      </c>
      <c r="F211" s="32">
        <v>4.0999999999999996</v>
      </c>
      <c r="G211" s="64" t="s">
        <v>567</v>
      </c>
      <c r="H211" s="64" t="s">
        <v>569</v>
      </c>
      <c r="I211" s="62" t="s">
        <v>570</v>
      </c>
      <c r="J211" s="32">
        <v>3.1</v>
      </c>
      <c r="K211" s="63" t="s">
        <v>664</v>
      </c>
      <c r="L211" s="64" t="s">
        <v>552</v>
      </c>
      <c r="M211" s="64" t="s">
        <v>659</v>
      </c>
      <c r="N211" s="32" t="s">
        <v>782</v>
      </c>
      <c r="O211" s="126"/>
      <c r="P211" s="126"/>
      <c r="Q211" s="126"/>
    </row>
    <row r="212" spans="1:17" ht="71.25" x14ac:dyDescent="0.75">
      <c r="A212" s="61" t="s">
        <v>1115</v>
      </c>
      <c r="B212" s="32" t="s">
        <v>1116</v>
      </c>
      <c r="C212" s="32" t="s">
        <v>1114</v>
      </c>
      <c r="D212" s="32" t="s">
        <v>1106</v>
      </c>
      <c r="E212" s="32" t="s">
        <v>58</v>
      </c>
      <c r="F212" s="32">
        <v>4.0999999999999996</v>
      </c>
      <c r="G212" s="64" t="s">
        <v>567</v>
      </c>
      <c r="H212" s="64" t="s">
        <v>569</v>
      </c>
      <c r="I212" s="62" t="s">
        <v>570</v>
      </c>
      <c r="J212" s="32">
        <v>5.0999999999999996</v>
      </c>
      <c r="K212" s="66" t="s">
        <v>65</v>
      </c>
      <c r="L212" s="62" t="s">
        <v>1117</v>
      </c>
      <c r="M212" s="62" t="s">
        <v>659</v>
      </c>
      <c r="N212" s="32" t="s">
        <v>782</v>
      </c>
      <c r="O212" s="126"/>
      <c r="P212" s="126"/>
      <c r="Q212" s="126"/>
    </row>
    <row r="213" spans="1:17" ht="71.25" x14ac:dyDescent="0.75">
      <c r="A213" s="61" t="s">
        <v>1118</v>
      </c>
      <c r="B213" s="32" t="s">
        <v>1119</v>
      </c>
      <c r="C213" s="32" t="s">
        <v>1114</v>
      </c>
      <c r="D213" s="32" t="s">
        <v>1106</v>
      </c>
      <c r="E213" s="32" t="s">
        <v>58</v>
      </c>
      <c r="F213" s="32">
        <v>4.0999999999999996</v>
      </c>
      <c r="G213" s="64" t="s">
        <v>567</v>
      </c>
      <c r="H213" s="64" t="s">
        <v>569</v>
      </c>
      <c r="I213" s="62" t="s">
        <v>570</v>
      </c>
      <c r="J213" s="32">
        <v>5.0999999999999996</v>
      </c>
      <c r="K213" s="66" t="s">
        <v>65</v>
      </c>
      <c r="L213" s="62" t="s">
        <v>1120</v>
      </c>
      <c r="M213" s="62" t="s">
        <v>659</v>
      </c>
      <c r="N213" s="32" t="s">
        <v>782</v>
      </c>
      <c r="O213" s="126"/>
      <c r="P213" s="126"/>
      <c r="Q213" s="126"/>
    </row>
    <row r="214" spans="1:17" ht="28.5" x14ac:dyDescent="0.75">
      <c r="A214" s="61" t="s">
        <v>1121</v>
      </c>
      <c r="B214" s="32" t="s">
        <v>1122</v>
      </c>
      <c r="C214" s="32" t="s">
        <v>656</v>
      </c>
      <c r="D214" s="32" t="s">
        <v>1106</v>
      </c>
      <c r="E214" s="32" t="s">
        <v>59</v>
      </c>
      <c r="F214" s="32">
        <v>4.0999999999999996</v>
      </c>
      <c r="G214" s="64" t="s">
        <v>567</v>
      </c>
      <c r="H214" s="64" t="s">
        <v>569</v>
      </c>
      <c r="I214" s="62" t="s">
        <v>570</v>
      </c>
      <c r="J214" s="32">
        <v>2.1</v>
      </c>
      <c r="K214" s="63" t="s">
        <v>658</v>
      </c>
      <c r="L214" s="64" t="s">
        <v>493</v>
      </c>
      <c r="M214" s="64" t="s">
        <v>659</v>
      </c>
      <c r="N214" s="32" t="s">
        <v>782</v>
      </c>
      <c r="O214" s="126"/>
      <c r="P214" s="126"/>
      <c r="Q214" s="126"/>
    </row>
    <row r="215" spans="1:17" ht="28.5" x14ac:dyDescent="0.75">
      <c r="A215" s="61" t="s">
        <v>1123</v>
      </c>
      <c r="B215" s="32" t="s">
        <v>1124</v>
      </c>
      <c r="C215" s="32" t="s">
        <v>663</v>
      </c>
      <c r="D215" s="32" t="s">
        <v>1106</v>
      </c>
      <c r="E215" s="32" t="s">
        <v>59</v>
      </c>
      <c r="F215" s="32">
        <v>4.0999999999999996</v>
      </c>
      <c r="G215" s="64" t="s">
        <v>567</v>
      </c>
      <c r="H215" s="64" t="s">
        <v>569</v>
      </c>
      <c r="I215" s="62" t="s">
        <v>570</v>
      </c>
      <c r="J215" s="32">
        <v>3.1</v>
      </c>
      <c r="K215" s="63" t="s">
        <v>664</v>
      </c>
      <c r="L215" s="64" t="s">
        <v>552</v>
      </c>
      <c r="M215" s="64" t="s">
        <v>659</v>
      </c>
      <c r="N215" s="32" t="s">
        <v>782</v>
      </c>
      <c r="O215" s="126"/>
      <c r="P215" s="126"/>
      <c r="Q215" s="126"/>
    </row>
    <row r="216" spans="1:17" ht="28.5" x14ac:dyDescent="0.75">
      <c r="A216" s="61" t="s">
        <v>1125</v>
      </c>
      <c r="B216" s="32" t="s">
        <v>1126</v>
      </c>
      <c r="C216" s="32" t="s">
        <v>663</v>
      </c>
      <c r="D216" s="32" t="s">
        <v>1106</v>
      </c>
      <c r="E216" s="32" t="s">
        <v>58</v>
      </c>
      <c r="F216" s="32">
        <v>4.0999999999999996</v>
      </c>
      <c r="G216" s="64" t="s">
        <v>567</v>
      </c>
      <c r="H216" s="64" t="s">
        <v>569</v>
      </c>
      <c r="I216" s="62" t="s">
        <v>570</v>
      </c>
      <c r="J216" s="32">
        <v>6.1</v>
      </c>
      <c r="K216" s="63" t="s">
        <v>66</v>
      </c>
      <c r="L216" s="62" t="s">
        <v>597</v>
      </c>
      <c r="M216" s="64" t="s">
        <v>676</v>
      </c>
      <c r="N216" s="32" t="s">
        <v>782</v>
      </c>
      <c r="O216" s="126"/>
      <c r="P216" s="126"/>
      <c r="Q216" s="126"/>
    </row>
    <row r="217" spans="1:17" ht="28.5" x14ac:dyDescent="0.75">
      <c r="A217" s="61" t="s">
        <v>1127</v>
      </c>
      <c r="B217" s="32" t="s">
        <v>1128</v>
      </c>
      <c r="C217" s="32" t="s">
        <v>663</v>
      </c>
      <c r="D217" s="32" t="s">
        <v>1106</v>
      </c>
      <c r="E217" s="32" t="s">
        <v>58</v>
      </c>
      <c r="F217" s="32">
        <v>4.0999999999999996</v>
      </c>
      <c r="G217" s="64" t="s">
        <v>567</v>
      </c>
      <c r="H217" s="64" t="s">
        <v>569</v>
      </c>
      <c r="I217" s="62" t="s">
        <v>570</v>
      </c>
      <c r="J217" s="32">
        <v>6.1</v>
      </c>
      <c r="K217" s="63" t="s">
        <v>66</v>
      </c>
      <c r="L217" s="62" t="s">
        <v>600</v>
      </c>
      <c r="M217" s="62" t="s">
        <v>659</v>
      </c>
      <c r="N217" s="32" t="s">
        <v>782</v>
      </c>
      <c r="O217" s="126"/>
      <c r="P217" s="126"/>
      <c r="Q217" s="126"/>
    </row>
    <row r="218" spans="1:17" ht="99.75" x14ac:dyDescent="0.75">
      <c r="A218" s="61" t="s">
        <v>1129</v>
      </c>
      <c r="B218" s="32" t="s">
        <v>1130</v>
      </c>
      <c r="C218" s="32" t="s">
        <v>1131</v>
      </c>
      <c r="D218" s="32" t="s">
        <v>1106</v>
      </c>
      <c r="E218" s="32" t="s">
        <v>59</v>
      </c>
      <c r="F218" s="32">
        <v>4.0999999999999996</v>
      </c>
      <c r="G218" s="64" t="s">
        <v>567</v>
      </c>
      <c r="H218" s="62" t="s">
        <v>572</v>
      </c>
      <c r="I218" s="62" t="s">
        <v>573</v>
      </c>
      <c r="J218" s="32">
        <v>2.1</v>
      </c>
      <c r="K218" s="63" t="s">
        <v>658</v>
      </c>
      <c r="L218" s="64" t="s">
        <v>493</v>
      </c>
      <c r="M218" s="64" t="s">
        <v>659</v>
      </c>
      <c r="N218" s="32" t="s">
        <v>782</v>
      </c>
      <c r="O218" s="126"/>
      <c r="P218" s="126"/>
      <c r="Q218" s="126"/>
    </row>
    <row r="219" spans="1:17" ht="57" x14ac:dyDescent="0.75">
      <c r="A219" s="61" t="s">
        <v>1132</v>
      </c>
      <c r="B219" s="32" t="s">
        <v>1133</v>
      </c>
      <c r="C219" s="32" t="s">
        <v>1134</v>
      </c>
      <c r="D219" s="32" t="s">
        <v>1106</v>
      </c>
      <c r="E219" s="32" t="s">
        <v>59</v>
      </c>
      <c r="F219" s="32">
        <v>4.0999999999999996</v>
      </c>
      <c r="G219" s="64" t="s">
        <v>567</v>
      </c>
      <c r="H219" s="62" t="s">
        <v>572</v>
      </c>
      <c r="I219" s="62" t="s">
        <v>573</v>
      </c>
      <c r="J219" s="32">
        <v>3.1</v>
      </c>
      <c r="K219" s="63" t="s">
        <v>664</v>
      </c>
      <c r="L219" s="64" t="s">
        <v>552</v>
      </c>
      <c r="M219" s="64" t="s">
        <v>659</v>
      </c>
      <c r="N219" s="32" t="s">
        <v>782</v>
      </c>
      <c r="O219" s="126"/>
      <c r="P219" s="126"/>
      <c r="Q219" s="126"/>
    </row>
    <row r="220" spans="1:17" ht="57" x14ac:dyDescent="0.75">
      <c r="A220" s="61" t="s">
        <v>1135</v>
      </c>
      <c r="B220" s="32" t="s">
        <v>1136</v>
      </c>
      <c r="C220" s="32" t="s">
        <v>1134</v>
      </c>
      <c r="D220" s="32" t="s">
        <v>1106</v>
      </c>
      <c r="E220" s="32" t="s">
        <v>58</v>
      </c>
      <c r="F220" s="32">
        <v>4.0999999999999996</v>
      </c>
      <c r="G220" s="64" t="s">
        <v>567</v>
      </c>
      <c r="H220" s="62" t="s">
        <v>572</v>
      </c>
      <c r="I220" s="62" t="s">
        <v>573</v>
      </c>
      <c r="J220" s="32">
        <v>5.0999999999999996</v>
      </c>
      <c r="K220" s="66" t="s">
        <v>65</v>
      </c>
      <c r="L220" s="62" t="s">
        <v>1117</v>
      </c>
      <c r="M220" s="62" t="s">
        <v>659</v>
      </c>
      <c r="N220" s="32" t="s">
        <v>782</v>
      </c>
      <c r="O220" s="126"/>
      <c r="P220" s="126"/>
      <c r="Q220" s="126"/>
    </row>
    <row r="221" spans="1:17" ht="57" x14ac:dyDescent="0.75">
      <c r="A221" s="61" t="s">
        <v>1137</v>
      </c>
      <c r="B221" s="32" t="s">
        <v>1138</v>
      </c>
      <c r="C221" s="32" t="s">
        <v>1134</v>
      </c>
      <c r="D221" s="32" t="s">
        <v>1106</v>
      </c>
      <c r="E221" s="32" t="s">
        <v>58</v>
      </c>
      <c r="F221" s="32">
        <v>4.0999999999999996</v>
      </c>
      <c r="G221" s="64" t="s">
        <v>567</v>
      </c>
      <c r="H221" s="62" t="s">
        <v>572</v>
      </c>
      <c r="I221" s="62" t="s">
        <v>573</v>
      </c>
      <c r="J221" s="32">
        <v>5.0999999999999996</v>
      </c>
      <c r="K221" s="66" t="s">
        <v>65</v>
      </c>
      <c r="L221" s="62" t="s">
        <v>1120</v>
      </c>
      <c r="M221" s="62" t="s">
        <v>659</v>
      </c>
      <c r="N221" s="32" t="s">
        <v>782</v>
      </c>
      <c r="O221" s="126"/>
      <c r="P221" s="126"/>
      <c r="Q221" s="126"/>
    </row>
    <row r="222" spans="1:17" ht="28.5" x14ac:dyDescent="0.75">
      <c r="A222" s="61" t="s">
        <v>1139</v>
      </c>
      <c r="B222" s="32" t="s">
        <v>1140</v>
      </c>
      <c r="C222" s="32" t="s">
        <v>656</v>
      </c>
      <c r="D222" s="32" t="s">
        <v>1106</v>
      </c>
      <c r="E222" s="32" t="s">
        <v>59</v>
      </c>
      <c r="F222" s="32">
        <v>4.0999999999999996</v>
      </c>
      <c r="G222" s="64" t="s">
        <v>567</v>
      </c>
      <c r="H222" s="62" t="s">
        <v>572</v>
      </c>
      <c r="I222" s="62" t="s">
        <v>573</v>
      </c>
      <c r="J222" s="32">
        <v>2.1</v>
      </c>
      <c r="K222" s="63" t="s">
        <v>658</v>
      </c>
      <c r="L222" s="64" t="s">
        <v>493</v>
      </c>
      <c r="M222" s="64" t="s">
        <v>659</v>
      </c>
      <c r="N222" s="32" t="s">
        <v>782</v>
      </c>
      <c r="O222" s="126"/>
      <c r="P222" s="126"/>
      <c r="Q222" s="126"/>
    </row>
    <row r="223" spans="1:17" ht="28.5" x14ac:dyDescent="0.75">
      <c r="A223" s="61" t="s">
        <v>1141</v>
      </c>
      <c r="B223" s="32" t="s">
        <v>1142</v>
      </c>
      <c r="C223" s="32" t="s">
        <v>663</v>
      </c>
      <c r="D223" s="32" t="s">
        <v>1106</v>
      </c>
      <c r="E223" s="32" t="s">
        <v>59</v>
      </c>
      <c r="F223" s="32">
        <v>4.0999999999999996</v>
      </c>
      <c r="G223" s="64" t="s">
        <v>567</v>
      </c>
      <c r="H223" s="62" t="s">
        <v>572</v>
      </c>
      <c r="I223" s="62" t="s">
        <v>573</v>
      </c>
      <c r="J223" s="32">
        <v>3.1</v>
      </c>
      <c r="K223" s="63" t="s">
        <v>664</v>
      </c>
      <c r="L223" s="64" t="s">
        <v>552</v>
      </c>
      <c r="M223" s="64" t="s">
        <v>659</v>
      </c>
      <c r="N223" s="32" t="s">
        <v>782</v>
      </c>
      <c r="O223" s="126"/>
      <c r="P223" s="126"/>
      <c r="Q223" s="126"/>
    </row>
    <row r="224" spans="1:17" ht="28.5" x14ac:dyDescent="0.75">
      <c r="A224" s="61" t="s">
        <v>1143</v>
      </c>
      <c r="B224" s="32" t="s">
        <v>1144</v>
      </c>
      <c r="C224" s="32" t="s">
        <v>663</v>
      </c>
      <c r="D224" s="32" t="s">
        <v>1106</v>
      </c>
      <c r="E224" s="32" t="s">
        <v>58</v>
      </c>
      <c r="F224" s="32">
        <v>4.0999999999999996</v>
      </c>
      <c r="G224" s="64" t="s">
        <v>567</v>
      </c>
      <c r="H224" s="62" t="s">
        <v>572</v>
      </c>
      <c r="I224" s="62" t="s">
        <v>573</v>
      </c>
      <c r="J224" s="32">
        <v>6.1</v>
      </c>
      <c r="K224" s="63" t="s">
        <v>66</v>
      </c>
      <c r="L224" s="62" t="s">
        <v>597</v>
      </c>
      <c r="M224" s="64" t="s">
        <v>676</v>
      </c>
      <c r="N224" s="32" t="s">
        <v>782</v>
      </c>
      <c r="O224" s="126"/>
      <c r="P224" s="126"/>
      <c r="Q224" s="126"/>
    </row>
    <row r="225" spans="1:17" ht="28.5" x14ac:dyDescent="0.75">
      <c r="A225" s="61" t="s">
        <v>1145</v>
      </c>
      <c r="B225" s="32" t="s">
        <v>1146</v>
      </c>
      <c r="C225" s="32" t="s">
        <v>663</v>
      </c>
      <c r="D225" s="32" t="s">
        <v>1106</v>
      </c>
      <c r="E225" s="32" t="s">
        <v>58</v>
      </c>
      <c r="F225" s="32">
        <v>4.0999999999999996</v>
      </c>
      <c r="G225" s="64" t="s">
        <v>567</v>
      </c>
      <c r="H225" s="62" t="s">
        <v>572</v>
      </c>
      <c r="I225" s="62" t="s">
        <v>573</v>
      </c>
      <c r="J225" s="32">
        <v>6.1</v>
      </c>
      <c r="K225" s="63" t="s">
        <v>66</v>
      </c>
      <c r="L225" s="62" t="s">
        <v>600</v>
      </c>
      <c r="M225" s="62" t="s">
        <v>659</v>
      </c>
      <c r="N225" s="32" t="s">
        <v>782</v>
      </c>
      <c r="O225" s="126"/>
      <c r="P225" s="126"/>
      <c r="Q225" s="126"/>
    </row>
    <row r="226" spans="1:17" ht="28.5" x14ac:dyDescent="0.75">
      <c r="A226" s="61" t="s">
        <v>1147</v>
      </c>
      <c r="B226" s="32" t="s">
        <v>1148</v>
      </c>
      <c r="C226" s="32" t="s">
        <v>656</v>
      </c>
      <c r="D226" s="32" t="s">
        <v>1106</v>
      </c>
      <c r="E226" s="32" t="s">
        <v>59</v>
      </c>
      <c r="F226" s="32">
        <v>2.1</v>
      </c>
      <c r="G226" s="64" t="s">
        <v>491</v>
      </c>
      <c r="H226" s="62" t="s">
        <v>493</v>
      </c>
      <c r="I226" s="62" t="s">
        <v>494</v>
      </c>
      <c r="J226" s="32">
        <v>2.1</v>
      </c>
      <c r="K226" s="63" t="s">
        <v>658</v>
      </c>
      <c r="L226" s="64" t="s">
        <v>493</v>
      </c>
      <c r="M226" s="64" t="s">
        <v>659</v>
      </c>
      <c r="N226" s="32" t="s">
        <v>782</v>
      </c>
      <c r="O226" s="126"/>
      <c r="P226" s="126"/>
      <c r="Q226" s="126"/>
    </row>
    <row r="227" spans="1:17" ht="28.5" x14ac:dyDescent="0.75">
      <c r="A227" s="61" t="s">
        <v>1149</v>
      </c>
      <c r="B227" s="32" t="s">
        <v>1150</v>
      </c>
      <c r="D227" s="32" t="s">
        <v>1106</v>
      </c>
      <c r="E227" s="32" t="s">
        <v>59</v>
      </c>
      <c r="F227" s="32">
        <v>2.1</v>
      </c>
      <c r="G227" s="64" t="s">
        <v>491</v>
      </c>
      <c r="H227" s="62" t="s">
        <v>493</v>
      </c>
      <c r="I227" s="62" t="s">
        <v>494</v>
      </c>
      <c r="J227" s="32">
        <v>3.1</v>
      </c>
      <c r="K227" s="63" t="s">
        <v>664</v>
      </c>
      <c r="L227" s="64" t="s">
        <v>552</v>
      </c>
      <c r="M227" s="64" t="s">
        <v>659</v>
      </c>
      <c r="N227" s="32" t="s">
        <v>782</v>
      </c>
      <c r="O227" s="126"/>
      <c r="P227" s="126"/>
      <c r="Q227" s="126"/>
    </row>
    <row r="228" spans="1:17" s="72" customFormat="1" ht="142.5" x14ac:dyDescent="0.75">
      <c r="A228" s="61" t="s">
        <v>1151</v>
      </c>
      <c r="B228" s="32" t="s">
        <v>1152</v>
      </c>
      <c r="C228" s="32" t="s">
        <v>1153</v>
      </c>
      <c r="D228" s="32" t="s">
        <v>1106</v>
      </c>
      <c r="E228" s="32" t="s">
        <v>58</v>
      </c>
      <c r="F228" s="32">
        <v>2.1</v>
      </c>
      <c r="G228" s="64" t="s">
        <v>491</v>
      </c>
      <c r="H228" s="62" t="s">
        <v>493</v>
      </c>
      <c r="I228" s="62" t="s">
        <v>494</v>
      </c>
      <c r="J228" s="32">
        <v>5.0999999999999996</v>
      </c>
      <c r="K228" s="64" t="s">
        <v>65</v>
      </c>
      <c r="L228" s="62" t="s">
        <v>1117</v>
      </c>
      <c r="M228" s="62" t="s">
        <v>659</v>
      </c>
      <c r="N228" s="32" t="s">
        <v>782</v>
      </c>
      <c r="O228" s="177"/>
      <c r="P228" s="177"/>
      <c r="Q228" s="177"/>
    </row>
    <row r="229" spans="1:17" ht="142.5" x14ac:dyDescent="0.75">
      <c r="A229" s="61" t="s">
        <v>1154</v>
      </c>
      <c r="B229" s="32" t="s">
        <v>1155</v>
      </c>
      <c r="C229" s="32" t="s">
        <v>1153</v>
      </c>
      <c r="D229" s="32" t="s">
        <v>1106</v>
      </c>
      <c r="E229" s="32" t="s">
        <v>58</v>
      </c>
      <c r="F229" s="32">
        <v>2.1</v>
      </c>
      <c r="G229" s="64" t="s">
        <v>491</v>
      </c>
      <c r="H229" s="62" t="s">
        <v>493</v>
      </c>
      <c r="I229" s="62" t="s">
        <v>494</v>
      </c>
      <c r="J229" s="32">
        <v>5.0999999999999996</v>
      </c>
      <c r="K229" s="66" t="s">
        <v>65</v>
      </c>
      <c r="L229" s="62" t="s">
        <v>1120</v>
      </c>
      <c r="M229" s="62" t="s">
        <v>659</v>
      </c>
      <c r="N229" s="32" t="s">
        <v>782</v>
      </c>
      <c r="O229" s="126"/>
      <c r="P229" s="126"/>
      <c r="Q229" s="126"/>
    </row>
    <row r="230" spans="1:17" ht="185.25" x14ac:dyDescent="0.75">
      <c r="A230" s="61" t="s">
        <v>1156</v>
      </c>
      <c r="B230" s="32" t="s">
        <v>1157</v>
      </c>
      <c r="C230" s="32" t="s">
        <v>1158</v>
      </c>
      <c r="D230" s="32" t="s">
        <v>1106</v>
      </c>
      <c r="E230" s="32" t="s">
        <v>59</v>
      </c>
      <c r="F230" s="32">
        <v>2.1</v>
      </c>
      <c r="G230" s="64" t="s">
        <v>491</v>
      </c>
      <c r="H230" s="62" t="s">
        <v>493</v>
      </c>
      <c r="I230" s="62" t="s">
        <v>494</v>
      </c>
      <c r="J230" s="32">
        <v>2.1</v>
      </c>
      <c r="K230" s="63" t="s">
        <v>658</v>
      </c>
      <c r="L230" s="64" t="s">
        <v>493</v>
      </c>
      <c r="M230" s="64" t="s">
        <v>659</v>
      </c>
      <c r="N230" s="32" t="s">
        <v>782</v>
      </c>
      <c r="O230" s="126"/>
      <c r="P230" s="126"/>
      <c r="Q230" s="126"/>
    </row>
    <row r="231" spans="1:17" ht="142.5" x14ac:dyDescent="0.75">
      <c r="A231" s="61" t="s">
        <v>1159</v>
      </c>
      <c r="B231" s="32" t="s">
        <v>1160</v>
      </c>
      <c r="C231" s="32" t="s">
        <v>1153</v>
      </c>
      <c r="D231" s="32" t="s">
        <v>1106</v>
      </c>
      <c r="E231" s="32" t="s">
        <v>59</v>
      </c>
      <c r="F231" s="32">
        <v>2.1</v>
      </c>
      <c r="G231" s="64" t="s">
        <v>491</v>
      </c>
      <c r="H231" s="62" t="s">
        <v>493</v>
      </c>
      <c r="I231" s="62" t="s">
        <v>494</v>
      </c>
      <c r="J231" s="32">
        <v>3.1</v>
      </c>
      <c r="K231" s="63" t="s">
        <v>664</v>
      </c>
      <c r="L231" s="64" t="s">
        <v>552</v>
      </c>
      <c r="M231" s="64" t="s">
        <v>659</v>
      </c>
      <c r="N231" s="32" t="s">
        <v>782</v>
      </c>
      <c r="O231" s="126"/>
      <c r="P231" s="126"/>
      <c r="Q231" s="126"/>
    </row>
    <row r="232" spans="1:17" ht="142.5" x14ac:dyDescent="0.75">
      <c r="A232" s="61" t="s">
        <v>1161</v>
      </c>
      <c r="B232" s="32" t="s">
        <v>1162</v>
      </c>
      <c r="C232" s="32" t="s">
        <v>1153</v>
      </c>
      <c r="D232" s="32" t="s">
        <v>1106</v>
      </c>
      <c r="E232" s="32" t="s">
        <v>58</v>
      </c>
      <c r="F232" s="32">
        <v>2.1</v>
      </c>
      <c r="G232" s="64" t="s">
        <v>491</v>
      </c>
      <c r="H232" s="62" t="s">
        <v>493</v>
      </c>
      <c r="I232" s="62" t="s">
        <v>494</v>
      </c>
      <c r="J232" s="32">
        <v>6.1</v>
      </c>
      <c r="K232" s="63" t="s">
        <v>66</v>
      </c>
      <c r="L232" s="62" t="s">
        <v>597</v>
      </c>
      <c r="M232" s="64" t="s">
        <v>676</v>
      </c>
      <c r="N232" s="32" t="s">
        <v>782</v>
      </c>
      <c r="O232" s="126"/>
      <c r="P232" s="126"/>
      <c r="Q232" s="126"/>
    </row>
    <row r="233" spans="1:17" ht="142.5" x14ac:dyDescent="0.75">
      <c r="A233" s="61" t="s">
        <v>1163</v>
      </c>
      <c r="B233" s="32" t="s">
        <v>1164</v>
      </c>
      <c r="C233" s="32" t="s">
        <v>1153</v>
      </c>
      <c r="D233" s="32" t="s">
        <v>1106</v>
      </c>
      <c r="E233" s="32" t="s">
        <v>58</v>
      </c>
      <c r="F233" s="32">
        <v>2.1</v>
      </c>
      <c r="G233" s="64" t="s">
        <v>491</v>
      </c>
      <c r="H233" s="62" t="s">
        <v>493</v>
      </c>
      <c r="I233" s="62" t="s">
        <v>494</v>
      </c>
      <c r="J233" s="32">
        <v>6.1</v>
      </c>
      <c r="K233" s="63" t="s">
        <v>66</v>
      </c>
      <c r="L233" s="62" t="s">
        <v>600</v>
      </c>
      <c r="M233" s="62" t="s">
        <v>659</v>
      </c>
      <c r="N233" s="32" t="s">
        <v>782</v>
      </c>
      <c r="O233" s="126"/>
      <c r="P233" s="126"/>
      <c r="Q233" s="126"/>
    </row>
    <row r="234" spans="1:17" ht="142.5" x14ac:dyDescent="0.75">
      <c r="A234" s="61" t="s">
        <v>1165</v>
      </c>
      <c r="B234" s="32" t="s">
        <v>1166</v>
      </c>
      <c r="C234" s="32" t="s">
        <v>1153</v>
      </c>
      <c r="D234" s="32" t="s">
        <v>1106</v>
      </c>
      <c r="E234" s="32" t="s">
        <v>58</v>
      </c>
      <c r="F234" s="32">
        <v>2.1</v>
      </c>
      <c r="G234" s="64" t="s">
        <v>491</v>
      </c>
      <c r="H234" s="62" t="s">
        <v>493</v>
      </c>
      <c r="I234" s="62" t="s">
        <v>494</v>
      </c>
      <c r="J234" s="32">
        <v>5.0999999999999996</v>
      </c>
      <c r="K234" s="63" t="s">
        <v>65</v>
      </c>
      <c r="L234" s="62" t="s">
        <v>1117</v>
      </c>
      <c r="M234" s="62" t="s">
        <v>659</v>
      </c>
      <c r="N234" s="32" t="s">
        <v>782</v>
      </c>
      <c r="O234" s="126"/>
      <c r="P234" s="126"/>
      <c r="Q234" s="126"/>
    </row>
    <row r="235" spans="1:17" ht="185.25" x14ac:dyDescent="0.75">
      <c r="A235" s="61" t="s">
        <v>1167</v>
      </c>
      <c r="B235" s="32" t="s">
        <v>1168</v>
      </c>
      <c r="C235" s="32" t="s">
        <v>1158</v>
      </c>
      <c r="D235" s="32" t="s">
        <v>1106</v>
      </c>
      <c r="E235" s="32" t="s">
        <v>59</v>
      </c>
      <c r="F235" s="32">
        <v>2.1</v>
      </c>
      <c r="G235" s="64" t="s">
        <v>491</v>
      </c>
      <c r="H235" s="62" t="s">
        <v>493</v>
      </c>
      <c r="I235" s="62" t="s">
        <v>494</v>
      </c>
      <c r="J235" s="32">
        <v>2.1</v>
      </c>
      <c r="K235" s="63" t="s">
        <v>658</v>
      </c>
      <c r="L235" s="64" t="s">
        <v>493</v>
      </c>
      <c r="M235" s="64" t="s">
        <v>659</v>
      </c>
      <c r="N235" s="32" t="s">
        <v>782</v>
      </c>
      <c r="O235" s="126"/>
      <c r="P235" s="126"/>
      <c r="Q235" s="126"/>
    </row>
    <row r="236" spans="1:17" ht="142.5" x14ac:dyDescent="0.75">
      <c r="A236" s="61" t="s">
        <v>1169</v>
      </c>
      <c r="B236" s="32" t="s">
        <v>1170</v>
      </c>
      <c r="C236" s="32" t="s">
        <v>1153</v>
      </c>
      <c r="D236" s="32" t="s">
        <v>1106</v>
      </c>
      <c r="E236" s="32" t="s">
        <v>59</v>
      </c>
      <c r="F236" s="32">
        <v>2.1</v>
      </c>
      <c r="G236" s="64" t="s">
        <v>491</v>
      </c>
      <c r="H236" s="62" t="s">
        <v>493</v>
      </c>
      <c r="I236" s="62" t="s">
        <v>494</v>
      </c>
      <c r="J236" s="32">
        <v>3.1</v>
      </c>
      <c r="K236" s="63" t="s">
        <v>664</v>
      </c>
      <c r="L236" s="64" t="s">
        <v>552</v>
      </c>
      <c r="M236" s="64" t="s">
        <v>659</v>
      </c>
      <c r="N236" s="32" t="s">
        <v>782</v>
      </c>
      <c r="O236" s="126"/>
      <c r="P236" s="126"/>
      <c r="Q236" s="126"/>
    </row>
    <row r="237" spans="1:17" ht="142.5" x14ac:dyDescent="0.75">
      <c r="A237" s="61" t="s">
        <v>1171</v>
      </c>
      <c r="B237" s="32" t="s">
        <v>1172</v>
      </c>
      <c r="C237" s="32" t="s">
        <v>1153</v>
      </c>
      <c r="D237" s="32" t="s">
        <v>1106</v>
      </c>
      <c r="E237" s="32" t="s">
        <v>58</v>
      </c>
      <c r="F237" s="32">
        <v>2.1</v>
      </c>
      <c r="G237" s="64" t="s">
        <v>491</v>
      </c>
      <c r="H237" s="62" t="s">
        <v>493</v>
      </c>
      <c r="I237" s="62" t="s">
        <v>494</v>
      </c>
      <c r="J237" s="32">
        <v>6.1</v>
      </c>
      <c r="K237" s="63" t="s">
        <v>66</v>
      </c>
      <c r="L237" s="62" t="s">
        <v>597</v>
      </c>
      <c r="M237" s="64" t="s">
        <v>676</v>
      </c>
      <c r="N237" s="32" t="s">
        <v>782</v>
      </c>
      <c r="O237" s="126"/>
      <c r="P237" s="126"/>
      <c r="Q237" s="126"/>
    </row>
    <row r="238" spans="1:17" ht="142.5" x14ac:dyDescent="0.75">
      <c r="A238" s="61" t="s">
        <v>1173</v>
      </c>
      <c r="B238" s="32" t="s">
        <v>1174</v>
      </c>
      <c r="C238" s="32" t="s">
        <v>1153</v>
      </c>
      <c r="D238" s="32" t="s">
        <v>1106</v>
      </c>
      <c r="E238" s="32" t="s">
        <v>58</v>
      </c>
      <c r="F238" s="32">
        <v>2.1</v>
      </c>
      <c r="G238" s="64" t="s">
        <v>491</v>
      </c>
      <c r="H238" s="62" t="s">
        <v>493</v>
      </c>
      <c r="I238" s="62" t="s">
        <v>494</v>
      </c>
      <c r="J238" s="32">
        <v>6.1</v>
      </c>
      <c r="K238" s="63" t="s">
        <v>66</v>
      </c>
      <c r="L238" s="62" t="s">
        <v>600</v>
      </c>
      <c r="M238" s="62" t="s">
        <v>659</v>
      </c>
      <c r="N238" s="32" t="s">
        <v>782</v>
      </c>
      <c r="O238" s="126"/>
      <c r="P238" s="126"/>
      <c r="Q238" s="126"/>
    </row>
    <row r="239" spans="1:17" ht="28.5" x14ac:dyDescent="0.75">
      <c r="A239" s="61" t="s">
        <v>1175</v>
      </c>
      <c r="B239" s="32" t="s">
        <v>1176</v>
      </c>
      <c r="C239" s="32" t="s">
        <v>656</v>
      </c>
      <c r="D239" s="32" t="s">
        <v>1106</v>
      </c>
      <c r="E239" s="32" t="s">
        <v>59</v>
      </c>
      <c r="F239" s="32">
        <v>2.1</v>
      </c>
      <c r="G239" s="64" t="s">
        <v>491</v>
      </c>
      <c r="H239" s="71" t="s">
        <v>496</v>
      </c>
      <c r="I239" s="32" t="s">
        <v>497</v>
      </c>
      <c r="J239" s="32">
        <v>2.1</v>
      </c>
      <c r="K239" s="63" t="s">
        <v>658</v>
      </c>
      <c r="L239" s="64" t="s">
        <v>493</v>
      </c>
      <c r="M239" s="64" t="s">
        <v>659</v>
      </c>
      <c r="N239" s="32" t="s">
        <v>782</v>
      </c>
      <c r="O239" s="65"/>
      <c r="P239" s="65"/>
      <c r="Q239" s="65"/>
    </row>
    <row r="240" spans="1:17" ht="28.5" x14ac:dyDescent="0.75">
      <c r="A240" s="61" t="s">
        <v>1177</v>
      </c>
      <c r="B240" s="32" t="s">
        <v>1178</v>
      </c>
      <c r="D240" s="32" t="s">
        <v>1106</v>
      </c>
      <c r="E240" s="32" t="s">
        <v>59</v>
      </c>
      <c r="F240" s="32">
        <v>2.1</v>
      </c>
      <c r="G240" s="64" t="s">
        <v>491</v>
      </c>
      <c r="H240" s="71" t="s">
        <v>496</v>
      </c>
      <c r="I240" s="32" t="s">
        <v>497</v>
      </c>
      <c r="J240" s="32">
        <v>3.1</v>
      </c>
      <c r="K240" s="63" t="s">
        <v>664</v>
      </c>
      <c r="L240" s="64" t="s">
        <v>552</v>
      </c>
      <c r="M240" s="64" t="s">
        <v>659</v>
      </c>
      <c r="N240" s="32" t="s">
        <v>782</v>
      </c>
      <c r="O240" s="65"/>
      <c r="P240" s="65"/>
      <c r="Q240" s="65"/>
    </row>
    <row r="241" spans="1:17" s="72" customFormat="1" ht="85.5" x14ac:dyDescent="0.75">
      <c r="A241" s="61" t="s">
        <v>1179</v>
      </c>
      <c r="B241" s="32" t="s">
        <v>1180</v>
      </c>
      <c r="C241" s="32" t="s">
        <v>1181</v>
      </c>
      <c r="D241" s="32" t="s">
        <v>1106</v>
      </c>
      <c r="E241" s="32" t="s">
        <v>58</v>
      </c>
      <c r="F241" s="32">
        <v>2.1</v>
      </c>
      <c r="G241" s="64" t="s">
        <v>491</v>
      </c>
      <c r="H241" s="71" t="s">
        <v>496</v>
      </c>
      <c r="I241" s="32" t="s">
        <v>497</v>
      </c>
      <c r="J241" s="32">
        <v>5.0999999999999996</v>
      </c>
      <c r="K241" s="64" t="s">
        <v>65</v>
      </c>
      <c r="L241" s="62" t="s">
        <v>1117</v>
      </c>
      <c r="M241" s="62" t="s">
        <v>659</v>
      </c>
      <c r="N241" s="32" t="s">
        <v>782</v>
      </c>
      <c r="O241" s="177"/>
      <c r="P241" s="177"/>
      <c r="Q241" s="177"/>
    </row>
    <row r="242" spans="1:17" ht="85.5" x14ac:dyDescent="0.75">
      <c r="A242" s="61" t="s">
        <v>1182</v>
      </c>
      <c r="B242" s="32" t="s">
        <v>1183</v>
      </c>
      <c r="C242" s="32" t="s">
        <v>1181</v>
      </c>
      <c r="D242" s="32" t="s">
        <v>1106</v>
      </c>
      <c r="E242" s="32" t="s">
        <v>58</v>
      </c>
      <c r="F242" s="32">
        <v>2.1</v>
      </c>
      <c r="G242" s="64" t="s">
        <v>491</v>
      </c>
      <c r="H242" s="71" t="s">
        <v>496</v>
      </c>
      <c r="I242" s="32" t="s">
        <v>497</v>
      </c>
      <c r="J242" s="32">
        <v>5.0999999999999996</v>
      </c>
      <c r="K242" s="66" t="s">
        <v>65</v>
      </c>
      <c r="L242" s="62" t="s">
        <v>1120</v>
      </c>
      <c r="M242" s="62" t="s">
        <v>659</v>
      </c>
      <c r="N242" s="32" t="s">
        <v>782</v>
      </c>
      <c r="O242" s="65"/>
      <c r="P242" s="65"/>
      <c r="Q242" s="65"/>
    </row>
    <row r="243" spans="1:17" ht="128.25" x14ac:dyDescent="0.75">
      <c r="A243" s="61" t="s">
        <v>1184</v>
      </c>
      <c r="B243" s="32" t="s">
        <v>1185</v>
      </c>
      <c r="C243" s="32" t="s">
        <v>1186</v>
      </c>
      <c r="D243" s="32" t="s">
        <v>1106</v>
      </c>
      <c r="E243" s="32" t="s">
        <v>59</v>
      </c>
      <c r="F243" s="32">
        <v>2.1</v>
      </c>
      <c r="G243" s="64" t="s">
        <v>491</v>
      </c>
      <c r="H243" s="71" t="s">
        <v>496</v>
      </c>
      <c r="I243" s="32" t="s">
        <v>497</v>
      </c>
      <c r="J243" s="32">
        <v>2.1</v>
      </c>
      <c r="K243" s="63" t="s">
        <v>658</v>
      </c>
      <c r="L243" s="64" t="s">
        <v>493</v>
      </c>
      <c r="M243" s="64" t="s">
        <v>659</v>
      </c>
      <c r="N243" s="32" t="s">
        <v>782</v>
      </c>
      <c r="O243" s="65"/>
      <c r="P243" s="65"/>
      <c r="Q243" s="65"/>
    </row>
    <row r="244" spans="1:17" ht="85.5" x14ac:dyDescent="0.75">
      <c r="A244" s="61" t="s">
        <v>1187</v>
      </c>
      <c r="B244" s="32" t="s">
        <v>1188</v>
      </c>
      <c r="C244" s="32" t="s">
        <v>1181</v>
      </c>
      <c r="D244" s="32" t="s">
        <v>1106</v>
      </c>
      <c r="E244" s="32" t="s">
        <v>59</v>
      </c>
      <c r="F244" s="32">
        <v>2.1</v>
      </c>
      <c r="G244" s="64" t="s">
        <v>491</v>
      </c>
      <c r="H244" s="71" t="s">
        <v>496</v>
      </c>
      <c r="I244" s="32" t="s">
        <v>497</v>
      </c>
      <c r="J244" s="32">
        <v>3.1</v>
      </c>
      <c r="K244" s="63" t="s">
        <v>664</v>
      </c>
      <c r="L244" s="64" t="s">
        <v>552</v>
      </c>
      <c r="M244" s="64" t="s">
        <v>659</v>
      </c>
      <c r="N244" s="32" t="s">
        <v>782</v>
      </c>
      <c r="O244" s="65"/>
      <c r="P244" s="65"/>
      <c r="Q244" s="65"/>
    </row>
    <row r="245" spans="1:17" ht="85.5" x14ac:dyDescent="0.75">
      <c r="A245" s="61" t="s">
        <v>1189</v>
      </c>
      <c r="B245" s="32" t="s">
        <v>1190</v>
      </c>
      <c r="C245" s="32" t="s">
        <v>1181</v>
      </c>
      <c r="D245" s="32" t="s">
        <v>1106</v>
      </c>
      <c r="E245" s="32" t="s">
        <v>58</v>
      </c>
      <c r="F245" s="32">
        <v>2.1</v>
      </c>
      <c r="G245" s="64" t="s">
        <v>491</v>
      </c>
      <c r="H245" s="71" t="s">
        <v>496</v>
      </c>
      <c r="I245" s="32" t="s">
        <v>497</v>
      </c>
      <c r="J245" s="32">
        <v>6.1</v>
      </c>
      <c r="K245" s="63" t="s">
        <v>66</v>
      </c>
      <c r="L245" s="62" t="s">
        <v>597</v>
      </c>
      <c r="M245" s="64" t="s">
        <v>676</v>
      </c>
      <c r="N245" s="32" t="s">
        <v>782</v>
      </c>
      <c r="O245" s="65"/>
      <c r="P245" s="65"/>
      <c r="Q245" s="65"/>
    </row>
    <row r="246" spans="1:17" ht="85.5" x14ac:dyDescent="0.75">
      <c r="A246" s="61" t="s">
        <v>1191</v>
      </c>
      <c r="B246" s="32" t="s">
        <v>1192</v>
      </c>
      <c r="C246" s="32" t="s">
        <v>1181</v>
      </c>
      <c r="D246" s="32" t="s">
        <v>1106</v>
      </c>
      <c r="E246" s="32" t="s">
        <v>58</v>
      </c>
      <c r="F246" s="32">
        <v>2.1</v>
      </c>
      <c r="G246" s="64" t="s">
        <v>491</v>
      </c>
      <c r="H246" s="71" t="s">
        <v>496</v>
      </c>
      <c r="I246" s="32" t="s">
        <v>497</v>
      </c>
      <c r="J246" s="32">
        <v>6.1</v>
      </c>
      <c r="K246" s="63" t="s">
        <v>66</v>
      </c>
      <c r="L246" s="62" t="s">
        <v>600</v>
      </c>
      <c r="M246" s="62" t="s">
        <v>659</v>
      </c>
      <c r="N246" s="32" t="s">
        <v>782</v>
      </c>
      <c r="O246" s="65"/>
      <c r="P246" s="65"/>
      <c r="Q246" s="65"/>
    </row>
    <row r="247" spans="1:17" ht="85.5" x14ac:dyDescent="0.75">
      <c r="A247" s="61" t="s">
        <v>1193</v>
      </c>
      <c r="B247" s="32" t="s">
        <v>1194</v>
      </c>
      <c r="C247" s="32" t="s">
        <v>1181</v>
      </c>
      <c r="D247" s="32" t="s">
        <v>1106</v>
      </c>
      <c r="E247" s="32" t="s">
        <v>58</v>
      </c>
      <c r="F247" s="32">
        <v>2.1</v>
      </c>
      <c r="G247" s="64" t="s">
        <v>491</v>
      </c>
      <c r="H247" s="71" t="s">
        <v>496</v>
      </c>
      <c r="I247" s="32" t="s">
        <v>497</v>
      </c>
      <c r="J247" s="32">
        <v>5.0999999999999996</v>
      </c>
      <c r="K247" s="63" t="s">
        <v>65</v>
      </c>
      <c r="L247" s="62" t="s">
        <v>1117</v>
      </c>
      <c r="M247" s="62" t="s">
        <v>659</v>
      </c>
      <c r="N247" s="32" t="s">
        <v>782</v>
      </c>
      <c r="O247" s="65"/>
      <c r="P247" s="65"/>
      <c r="Q247" s="65"/>
    </row>
    <row r="248" spans="1:17" ht="85.5" x14ac:dyDescent="0.75">
      <c r="A248" s="61" t="s">
        <v>1195</v>
      </c>
      <c r="B248" s="32" t="s">
        <v>1196</v>
      </c>
      <c r="C248" s="32" t="s">
        <v>1181</v>
      </c>
      <c r="D248" s="32" t="s">
        <v>1106</v>
      </c>
      <c r="E248" s="32" t="s">
        <v>59</v>
      </c>
      <c r="F248" s="32">
        <v>2.1</v>
      </c>
      <c r="G248" s="64" t="s">
        <v>491</v>
      </c>
      <c r="H248" s="71" t="s">
        <v>496</v>
      </c>
      <c r="I248" s="32" t="s">
        <v>497</v>
      </c>
      <c r="J248" s="32">
        <v>2.1</v>
      </c>
      <c r="K248" s="63" t="s">
        <v>658</v>
      </c>
      <c r="L248" s="64" t="s">
        <v>493</v>
      </c>
      <c r="M248" s="64" t="s">
        <v>659</v>
      </c>
      <c r="N248" s="32" t="s">
        <v>782</v>
      </c>
      <c r="O248" s="65"/>
      <c r="P248" s="65"/>
      <c r="Q248" s="65"/>
    </row>
    <row r="249" spans="1:17" ht="85.5" x14ac:dyDescent="0.75">
      <c r="A249" s="61" t="s">
        <v>1197</v>
      </c>
      <c r="B249" s="32" t="s">
        <v>1198</v>
      </c>
      <c r="C249" s="32" t="s">
        <v>1181</v>
      </c>
      <c r="D249" s="32" t="s">
        <v>1106</v>
      </c>
      <c r="E249" s="32" t="s">
        <v>59</v>
      </c>
      <c r="F249" s="32">
        <v>2.1</v>
      </c>
      <c r="G249" s="64" t="s">
        <v>491</v>
      </c>
      <c r="H249" s="71" t="s">
        <v>496</v>
      </c>
      <c r="I249" s="32" t="s">
        <v>497</v>
      </c>
      <c r="J249" s="32">
        <v>3.1</v>
      </c>
      <c r="K249" s="63" t="s">
        <v>664</v>
      </c>
      <c r="L249" s="64" t="s">
        <v>552</v>
      </c>
      <c r="M249" s="64" t="s">
        <v>659</v>
      </c>
      <c r="N249" s="32" t="s">
        <v>782</v>
      </c>
      <c r="O249" s="65"/>
      <c r="P249" s="65"/>
      <c r="Q249" s="65"/>
    </row>
    <row r="250" spans="1:17" ht="85.5" x14ac:dyDescent="0.75">
      <c r="A250" s="61" t="s">
        <v>1199</v>
      </c>
      <c r="B250" s="32" t="s">
        <v>1200</v>
      </c>
      <c r="C250" s="32" t="s">
        <v>1181</v>
      </c>
      <c r="D250" s="32" t="s">
        <v>1106</v>
      </c>
      <c r="E250" s="32" t="s">
        <v>58</v>
      </c>
      <c r="F250" s="32">
        <v>2.1</v>
      </c>
      <c r="G250" s="64" t="s">
        <v>491</v>
      </c>
      <c r="H250" s="71" t="s">
        <v>496</v>
      </c>
      <c r="I250" s="32" t="s">
        <v>497</v>
      </c>
      <c r="J250" s="32">
        <v>6.1</v>
      </c>
      <c r="K250" s="63" t="s">
        <v>66</v>
      </c>
      <c r="L250" s="62" t="s">
        <v>597</v>
      </c>
      <c r="M250" s="64" t="s">
        <v>676</v>
      </c>
      <c r="N250" s="32" t="s">
        <v>782</v>
      </c>
      <c r="O250" s="65"/>
      <c r="P250" s="65"/>
      <c r="Q250" s="65"/>
    </row>
    <row r="251" spans="1:17" ht="85.5" x14ac:dyDescent="0.75">
      <c r="A251" s="61" t="s">
        <v>1201</v>
      </c>
      <c r="B251" s="32" t="s">
        <v>1202</v>
      </c>
      <c r="C251" s="32" t="s">
        <v>1181</v>
      </c>
      <c r="D251" s="32" t="s">
        <v>1106</v>
      </c>
      <c r="E251" s="32" t="s">
        <v>58</v>
      </c>
      <c r="F251" s="32">
        <v>2.1</v>
      </c>
      <c r="G251" s="64" t="s">
        <v>491</v>
      </c>
      <c r="H251" s="71" t="s">
        <v>496</v>
      </c>
      <c r="I251" s="32" t="s">
        <v>497</v>
      </c>
      <c r="J251" s="32">
        <v>6.1</v>
      </c>
      <c r="K251" s="63" t="s">
        <v>66</v>
      </c>
      <c r="L251" s="62" t="s">
        <v>600</v>
      </c>
      <c r="M251" s="62" t="s">
        <v>659</v>
      </c>
      <c r="N251" s="32" t="s">
        <v>782</v>
      </c>
      <c r="O251" s="65"/>
      <c r="P251" s="65"/>
      <c r="Q251" s="65"/>
    </row>
    <row r="252" spans="1:17" ht="99.75" x14ac:dyDescent="0.75">
      <c r="A252" s="61" t="s">
        <v>1203</v>
      </c>
      <c r="B252" s="32" t="s">
        <v>1204</v>
      </c>
      <c r="C252" s="32" t="s">
        <v>1205</v>
      </c>
      <c r="D252" s="32" t="s">
        <v>1106</v>
      </c>
      <c r="E252" s="32" t="s">
        <v>59</v>
      </c>
      <c r="F252" s="32">
        <v>2.1</v>
      </c>
      <c r="G252" s="64" t="s">
        <v>491</v>
      </c>
      <c r="H252" s="62" t="s">
        <v>499</v>
      </c>
      <c r="I252" s="62" t="s">
        <v>500</v>
      </c>
      <c r="J252" s="32">
        <v>2.1</v>
      </c>
      <c r="K252" s="63" t="s">
        <v>658</v>
      </c>
      <c r="L252" s="64" t="s">
        <v>493</v>
      </c>
      <c r="M252" s="64" t="s">
        <v>659</v>
      </c>
      <c r="N252" s="32" t="s">
        <v>782</v>
      </c>
      <c r="O252" s="65"/>
      <c r="P252" s="65"/>
      <c r="Q252" s="65"/>
    </row>
    <row r="253" spans="1:17" ht="57" x14ac:dyDescent="0.75">
      <c r="A253" s="61" t="s">
        <v>1206</v>
      </c>
      <c r="B253" s="32" t="s">
        <v>1207</v>
      </c>
      <c r="C253" s="32" t="s">
        <v>1208</v>
      </c>
      <c r="D253" s="32" t="s">
        <v>1106</v>
      </c>
      <c r="E253" s="32" t="s">
        <v>59</v>
      </c>
      <c r="F253" s="32">
        <v>2.1</v>
      </c>
      <c r="G253" s="64" t="s">
        <v>491</v>
      </c>
      <c r="H253" s="62" t="s">
        <v>499</v>
      </c>
      <c r="I253" s="62" t="s">
        <v>500</v>
      </c>
      <c r="J253" s="32">
        <v>3.1</v>
      </c>
      <c r="K253" s="63" t="s">
        <v>664</v>
      </c>
      <c r="L253" s="64" t="s">
        <v>552</v>
      </c>
      <c r="M253" s="64" t="s">
        <v>659</v>
      </c>
      <c r="N253" s="32" t="s">
        <v>782</v>
      </c>
      <c r="O253" s="65"/>
      <c r="P253" s="65"/>
      <c r="Q253" s="65"/>
    </row>
    <row r="254" spans="1:17" s="72" customFormat="1" ht="57" x14ac:dyDescent="0.75">
      <c r="A254" s="61" t="s">
        <v>1209</v>
      </c>
      <c r="B254" s="32" t="s">
        <v>1210</v>
      </c>
      <c r="C254" s="32" t="s">
        <v>1208</v>
      </c>
      <c r="D254" s="32" t="s">
        <v>1106</v>
      </c>
      <c r="E254" s="32" t="s">
        <v>58</v>
      </c>
      <c r="F254" s="32">
        <v>2.1</v>
      </c>
      <c r="G254" s="64" t="s">
        <v>491</v>
      </c>
      <c r="H254" s="62" t="s">
        <v>499</v>
      </c>
      <c r="I254" s="62" t="s">
        <v>500</v>
      </c>
      <c r="J254" s="32">
        <v>5.0999999999999996</v>
      </c>
      <c r="K254" s="64" t="s">
        <v>65</v>
      </c>
      <c r="L254" s="62" t="s">
        <v>1117</v>
      </c>
      <c r="M254" s="62" t="s">
        <v>659</v>
      </c>
      <c r="N254" s="32" t="s">
        <v>782</v>
      </c>
      <c r="O254" s="177"/>
      <c r="P254" s="177"/>
      <c r="Q254" s="177"/>
    </row>
    <row r="255" spans="1:17" ht="57" x14ac:dyDescent="0.75">
      <c r="A255" s="61" t="s">
        <v>1211</v>
      </c>
      <c r="B255" s="32" t="s">
        <v>1212</v>
      </c>
      <c r="C255" s="32" t="s">
        <v>1208</v>
      </c>
      <c r="D255" s="32" t="s">
        <v>1106</v>
      </c>
      <c r="E255" s="32" t="s">
        <v>58</v>
      </c>
      <c r="F255" s="32">
        <v>2.1</v>
      </c>
      <c r="G255" s="64" t="s">
        <v>491</v>
      </c>
      <c r="H255" s="62" t="s">
        <v>499</v>
      </c>
      <c r="I255" s="62" t="s">
        <v>500</v>
      </c>
      <c r="J255" s="32">
        <v>5.0999999999999996</v>
      </c>
      <c r="K255" s="66" t="s">
        <v>65</v>
      </c>
      <c r="L255" s="62" t="s">
        <v>1120</v>
      </c>
      <c r="M255" s="62" t="s">
        <v>659</v>
      </c>
      <c r="N255" s="32" t="s">
        <v>782</v>
      </c>
      <c r="O255" s="126"/>
      <c r="P255" s="126"/>
      <c r="Q255" s="126"/>
    </row>
    <row r="256" spans="1:17" ht="99.75" x14ac:dyDescent="0.75">
      <c r="A256" s="61" t="s">
        <v>1213</v>
      </c>
      <c r="B256" s="32" t="s">
        <v>1214</v>
      </c>
      <c r="C256" s="32" t="s">
        <v>1205</v>
      </c>
      <c r="D256" s="32" t="s">
        <v>1106</v>
      </c>
      <c r="E256" s="32" t="s">
        <v>59</v>
      </c>
      <c r="F256" s="32">
        <v>2.1</v>
      </c>
      <c r="G256" s="64" t="s">
        <v>491</v>
      </c>
      <c r="H256" s="62" t="s">
        <v>499</v>
      </c>
      <c r="I256" s="62" t="s">
        <v>500</v>
      </c>
      <c r="J256" s="32">
        <v>2.1</v>
      </c>
      <c r="K256" s="63" t="s">
        <v>658</v>
      </c>
      <c r="L256" s="64" t="s">
        <v>493</v>
      </c>
      <c r="M256" s="64" t="s">
        <v>659</v>
      </c>
      <c r="N256" s="32" t="s">
        <v>782</v>
      </c>
      <c r="O256" s="126"/>
      <c r="P256" s="126"/>
      <c r="Q256" s="126"/>
    </row>
    <row r="257" spans="1:17" ht="57" x14ac:dyDescent="0.75">
      <c r="A257" s="61" t="s">
        <v>1215</v>
      </c>
      <c r="B257" s="32" t="s">
        <v>1216</v>
      </c>
      <c r="C257" s="32" t="s">
        <v>1208</v>
      </c>
      <c r="D257" s="32" t="s">
        <v>1106</v>
      </c>
      <c r="E257" s="32" t="s">
        <v>59</v>
      </c>
      <c r="F257" s="32">
        <v>2.1</v>
      </c>
      <c r="G257" s="64" t="s">
        <v>491</v>
      </c>
      <c r="H257" s="62" t="s">
        <v>499</v>
      </c>
      <c r="I257" s="62" t="s">
        <v>500</v>
      </c>
      <c r="J257" s="32">
        <v>3.1</v>
      </c>
      <c r="K257" s="63" t="s">
        <v>664</v>
      </c>
      <c r="L257" s="64" t="s">
        <v>552</v>
      </c>
      <c r="M257" s="64" t="s">
        <v>659</v>
      </c>
      <c r="N257" s="32" t="s">
        <v>782</v>
      </c>
      <c r="O257" s="126"/>
      <c r="P257" s="126"/>
      <c r="Q257" s="126"/>
    </row>
    <row r="258" spans="1:17" ht="57" x14ac:dyDescent="0.75">
      <c r="A258" s="61" t="s">
        <v>1217</v>
      </c>
      <c r="B258" s="32" t="s">
        <v>1218</v>
      </c>
      <c r="C258" s="32" t="s">
        <v>1208</v>
      </c>
      <c r="D258" s="32" t="s">
        <v>1106</v>
      </c>
      <c r="E258" s="32" t="s">
        <v>58</v>
      </c>
      <c r="F258" s="32">
        <v>2.1</v>
      </c>
      <c r="G258" s="64" t="s">
        <v>491</v>
      </c>
      <c r="H258" s="62" t="s">
        <v>499</v>
      </c>
      <c r="I258" s="62" t="s">
        <v>500</v>
      </c>
      <c r="J258" s="32">
        <v>6.1</v>
      </c>
      <c r="K258" s="63" t="s">
        <v>66</v>
      </c>
      <c r="L258" s="62" t="s">
        <v>597</v>
      </c>
      <c r="M258" s="64" t="s">
        <v>676</v>
      </c>
      <c r="N258" s="32" t="s">
        <v>782</v>
      </c>
      <c r="O258" s="126"/>
      <c r="P258" s="126"/>
      <c r="Q258" s="126"/>
    </row>
    <row r="259" spans="1:17" ht="57" x14ac:dyDescent="0.75">
      <c r="A259" s="61" t="s">
        <v>1219</v>
      </c>
      <c r="B259" s="32" t="s">
        <v>1220</v>
      </c>
      <c r="C259" s="32" t="s">
        <v>1208</v>
      </c>
      <c r="D259" s="32" t="s">
        <v>1106</v>
      </c>
      <c r="E259" s="32" t="s">
        <v>58</v>
      </c>
      <c r="F259" s="32">
        <v>2.1</v>
      </c>
      <c r="G259" s="64" t="s">
        <v>491</v>
      </c>
      <c r="H259" s="62" t="s">
        <v>499</v>
      </c>
      <c r="I259" s="62" t="s">
        <v>500</v>
      </c>
      <c r="J259" s="32">
        <v>6.1</v>
      </c>
      <c r="K259" s="63" t="s">
        <v>66</v>
      </c>
      <c r="L259" s="62" t="s">
        <v>600</v>
      </c>
      <c r="M259" s="62" t="s">
        <v>659</v>
      </c>
      <c r="N259" s="32" t="s">
        <v>782</v>
      </c>
      <c r="O259" s="126"/>
      <c r="P259" s="126"/>
      <c r="Q259" s="126"/>
    </row>
    <row r="260" spans="1:17" ht="57" x14ac:dyDescent="0.75">
      <c r="A260" s="61" t="s">
        <v>1221</v>
      </c>
      <c r="B260" s="32" t="s">
        <v>1222</v>
      </c>
      <c r="C260" s="32" t="s">
        <v>1208</v>
      </c>
      <c r="D260" s="32" t="s">
        <v>1106</v>
      </c>
      <c r="E260" s="32" t="s">
        <v>58</v>
      </c>
      <c r="F260" s="32">
        <v>2.1</v>
      </c>
      <c r="G260" s="64" t="s">
        <v>491</v>
      </c>
      <c r="H260" s="62" t="s">
        <v>499</v>
      </c>
      <c r="I260" s="62" t="s">
        <v>500</v>
      </c>
      <c r="J260" s="32">
        <v>5.0999999999999996</v>
      </c>
      <c r="K260" s="63" t="s">
        <v>65</v>
      </c>
      <c r="L260" s="62" t="s">
        <v>1117</v>
      </c>
      <c r="M260" s="62" t="s">
        <v>659</v>
      </c>
      <c r="N260" s="32" t="s">
        <v>782</v>
      </c>
      <c r="O260" s="126"/>
      <c r="P260" s="126"/>
      <c r="Q260" s="126"/>
    </row>
    <row r="261" spans="1:17" ht="99.75" x14ac:dyDescent="0.75">
      <c r="A261" s="61" t="s">
        <v>1223</v>
      </c>
      <c r="B261" s="32" t="s">
        <v>1224</v>
      </c>
      <c r="C261" s="32" t="s">
        <v>1205</v>
      </c>
      <c r="D261" s="32" t="s">
        <v>1106</v>
      </c>
      <c r="E261" s="32" t="s">
        <v>59</v>
      </c>
      <c r="F261" s="32">
        <v>2.1</v>
      </c>
      <c r="G261" s="64" t="s">
        <v>491</v>
      </c>
      <c r="H261" s="62" t="s">
        <v>499</v>
      </c>
      <c r="I261" s="62" t="s">
        <v>500</v>
      </c>
      <c r="J261" s="32">
        <v>2.1</v>
      </c>
      <c r="K261" s="63" t="s">
        <v>658</v>
      </c>
      <c r="L261" s="64" t="s">
        <v>493</v>
      </c>
      <c r="M261" s="64" t="s">
        <v>659</v>
      </c>
      <c r="N261" s="32" t="s">
        <v>782</v>
      </c>
      <c r="O261" s="126"/>
      <c r="P261" s="126"/>
      <c r="Q261" s="126"/>
    </row>
    <row r="262" spans="1:17" ht="57" x14ac:dyDescent="0.75">
      <c r="A262" s="61" t="s">
        <v>1225</v>
      </c>
      <c r="B262" s="32" t="s">
        <v>1226</v>
      </c>
      <c r="C262" s="32" t="s">
        <v>1208</v>
      </c>
      <c r="D262" s="32" t="s">
        <v>1106</v>
      </c>
      <c r="E262" s="32" t="s">
        <v>59</v>
      </c>
      <c r="F262" s="32">
        <v>2.1</v>
      </c>
      <c r="G262" s="64" t="s">
        <v>491</v>
      </c>
      <c r="H262" s="62" t="s">
        <v>499</v>
      </c>
      <c r="I262" s="62" t="s">
        <v>500</v>
      </c>
      <c r="J262" s="32">
        <v>3.1</v>
      </c>
      <c r="K262" s="63" t="s">
        <v>664</v>
      </c>
      <c r="L262" s="64" t="s">
        <v>552</v>
      </c>
      <c r="M262" s="64" t="s">
        <v>659</v>
      </c>
      <c r="N262" s="32" t="s">
        <v>782</v>
      </c>
      <c r="O262" s="126"/>
      <c r="P262" s="126"/>
      <c r="Q262" s="126"/>
    </row>
    <row r="263" spans="1:17" ht="57" x14ac:dyDescent="0.75">
      <c r="A263" s="61" t="s">
        <v>1227</v>
      </c>
      <c r="B263" s="32" t="s">
        <v>1228</v>
      </c>
      <c r="C263" s="32" t="s">
        <v>1208</v>
      </c>
      <c r="D263" s="32" t="s">
        <v>1106</v>
      </c>
      <c r="E263" s="32" t="s">
        <v>58</v>
      </c>
      <c r="F263" s="32">
        <v>2.1</v>
      </c>
      <c r="G263" s="64" t="s">
        <v>491</v>
      </c>
      <c r="H263" s="62" t="s">
        <v>499</v>
      </c>
      <c r="I263" s="62" t="s">
        <v>500</v>
      </c>
      <c r="J263" s="32">
        <v>6.1</v>
      </c>
      <c r="K263" s="63" t="s">
        <v>66</v>
      </c>
      <c r="L263" s="62" t="s">
        <v>597</v>
      </c>
      <c r="M263" s="64" t="s">
        <v>676</v>
      </c>
      <c r="N263" s="32" t="s">
        <v>782</v>
      </c>
      <c r="O263" s="126"/>
      <c r="P263" s="126"/>
      <c r="Q263" s="126"/>
    </row>
    <row r="264" spans="1:17" ht="57" x14ac:dyDescent="0.75">
      <c r="A264" s="61" t="s">
        <v>1229</v>
      </c>
      <c r="B264" s="32" t="s">
        <v>1230</v>
      </c>
      <c r="C264" s="32" t="s">
        <v>1208</v>
      </c>
      <c r="D264" s="32" t="s">
        <v>1106</v>
      </c>
      <c r="E264" s="32" t="s">
        <v>58</v>
      </c>
      <c r="F264" s="32">
        <v>2.1</v>
      </c>
      <c r="G264" s="64" t="s">
        <v>491</v>
      </c>
      <c r="H264" s="62" t="s">
        <v>499</v>
      </c>
      <c r="I264" s="62" t="s">
        <v>500</v>
      </c>
      <c r="J264" s="32">
        <v>6.1</v>
      </c>
      <c r="K264" s="63" t="s">
        <v>66</v>
      </c>
      <c r="L264" s="62" t="s">
        <v>600</v>
      </c>
      <c r="M264" s="62" t="s">
        <v>659</v>
      </c>
      <c r="N264" s="32" t="s">
        <v>782</v>
      </c>
      <c r="O264" s="126"/>
      <c r="P264" s="126"/>
      <c r="Q264" s="126"/>
    </row>
    <row r="265" spans="1:17" ht="185.25" x14ac:dyDescent="0.75">
      <c r="A265" s="61" t="s">
        <v>1231</v>
      </c>
      <c r="B265" s="32" t="s">
        <v>1232</v>
      </c>
      <c r="C265" s="32" t="s">
        <v>1233</v>
      </c>
      <c r="D265" s="32" t="s">
        <v>1106</v>
      </c>
      <c r="E265" s="32" t="s">
        <v>59</v>
      </c>
      <c r="F265" s="32">
        <v>2.1</v>
      </c>
      <c r="G265" s="64" t="s">
        <v>491</v>
      </c>
      <c r="H265" s="62" t="s">
        <v>502</v>
      </c>
      <c r="I265" s="62" t="s">
        <v>503</v>
      </c>
      <c r="J265" s="32">
        <v>2.1</v>
      </c>
      <c r="K265" s="63" t="s">
        <v>658</v>
      </c>
      <c r="L265" s="64" t="s">
        <v>493</v>
      </c>
      <c r="M265" s="64" t="s">
        <v>659</v>
      </c>
      <c r="N265" s="32" t="s">
        <v>782</v>
      </c>
      <c r="O265" s="126"/>
      <c r="P265" s="126"/>
      <c r="Q265" s="126"/>
    </row>
    <row r="266" spans="1:17" ht="142.5" x14ac:dyDescent="0.75">
      <c r="A266" s="61" t="s">
        <v>1234</v>
      </c>
      <c r="B266" s="32" t="s">
        <v>1235</v>
      </c>
      <c r="C266" s="32" t="s">
        <v>1236</v>
      </c>
      <c r="D266" s="32" t="s">
        <v>1106</v>
      </c>
      <c r="E266" s="32" t="s">
        <v>59</v>
      </c>
      <c r="F266" s="32">
        <v>2.1</v>
      </c>
      <c r="G266" s="64" t="s">
        <v>491</v>
      </c>
      <c r="H266" s="62" t="s">
        <v>502</v>
      </c>
      <c r="I266" s="62" t="s">
        <v>503</v>
      </c>
      <c r="J266" s="32">
        <v>3.1</v>
      </c>
      <c r="K266" s="63" t="s">
        <v>664</v>
      </c>
      <c r="L266" s="64" t="s">
        <v>552</v>
      </c>
      <c r="M266" s="64" t="s">
        <v>659</v>
      </c>
      <c r="N266" s="32" t="s">
        <v>782</v>
      </c>
      <c r="O266" s="126"/>
      <c r="P266" s="126"/>
      <c r="Q266" s="126"/>
    </row>
    <row r="267" spans="1:17" s="72" customFormat="1" ht="142.5" x14ac:dyDescent="0.75">
      <c r="A267" s="61" t="s">
        <v>1237</v>
      </c>
      <c r="B267" s="32" t="s">
        <v>1238</v>
      </c>
      <c r="C267" s="32" t="s">
        <v>1236</v>
      </c>
      <c r="D267" s="32" t="s">
        <v>1106</v>
      </c>
      <c r="E267" s="32" t="s">
        <v>58</v>
      </c>
      <c r="F267" s="32">
        <v>2.1</v>
      </c>
      <c r="G267" s="64" t="s">
        <v>491</v>
      </c>
      <c r="H267" s="62" t="s">
        <v>502</v>
      </c>
      <c r="I267" s="62" t="s">
        <v>503</v>
      </c>
      <c r="J267" s="32">
        <v>5.0999999999999996</v>
      </c>
      <c r="K267" s="64" t="s">
        <v>65</v>
      </c>
      <c r="L267" s="62" t="s">
        <v>1117</v>
      </c>
      <c r="M267" s="62" t="s">
        <v>659</v>
      </c>
      <c r="N267" s="32" t="s">
        <v>782</v>
      </c>
      <c r="O267" s="177"/>
      <c r="P267" s="177"/>
      <c r="Q267" s="177"/>
    </row>
    <row r="268" spans="1:17" ht="142.5" x14ac:dyDescent="0.75">
      <c r="A268" s="61" t="s">
        <v>1239</v>
      </c>
      <c r="B268" s="32" t="s">
        <v>1240</v>
      </c>
      <c r="C268" s="32" t="s">
        <v>1236</v>
      </c>
      <c r="D268" s="32" t="s">
        <v>1106</v>
      </c>
      <c r="E268" s="32" t="s">
        <v>58</v>
      </c>
      <c r="F268" s="32">
        <v>2.1</v>
      </c>
      <c r="G268" s="64" t="s">
        <v>491</v>
      </c>
      <c r="H268" s="62" t="s">
        <v>502</v>
      </c>
      <c r="I268" s="62" t="s">
        <v>503</v>
      </c>
      <c r="J268" s="32">
        <v>5.0999999999999996</v>
      </c>
      <c r="K268" s="66" t="s">
        <v>65</v>
      </c>
      <c r="L268" s="62" t="s">
        <v>1120</v>
      </c>
      <c r="M268" s="62" t="s">
        <v>659</v>
      </c>
      <c r="N268" s="32" t="s">
        <v>782</v>
      </c>
      <c r="O268" s="126"/>
      <c r="P268" s="126"/>
      <c r="Q268" s="126"/>
    </row>
    <row r="269" spans="1:17" ht="185.25" x14ac:dyDescent="0.75">
      <c r="A269" s="61" t="s">
        <v>1241</v>
      </c>
      <c r="B269" s="32" t="s">
        <v>1242</v>
      </c>
      <c r="C269" s="32" t="s">
        <v>1243</v>
      </c>
      <c r="D269" s="32" t="s">
        <v>1106</v>
      </c>
      <c r="E269" s="32" t="s">
        <v>59</v>
      </c>
      <c r="F269" s="32">
        <v>2.1</v>
      </c>
      <c r="G269" s="64" t="s">
        <v>491</v>
      </c>
      <c r="H269" s="62" t="s">
        <v>502</v>
      </c>
      <c r="I269" s="62" t="s">
        <v>503</v>
      </c>
      <c r="J269" s="32">
        <v>2.1</v>
      </c>
      <c r="K269" s="63" t="s">
        <v>658</v>
      </c>
      <c r="L269" s="64" t="s">
        <v>493</v>
      </c>
      <c r="M269" s="64" t="s">
        <v>659</v>
      </c>
      <c r="N269" s="32" t="s">
        <v>782</v>
      </c>
      <c r="O269" s="126"/>
      <c r="P269" s="126"/>
      <c r="Q269" s="126"/>
    </row>
    <row r="270" spans="1:17" ht="156.75" x14ac:dyDescent="0.75">
      <c r="A270" s="61" t="s">
        <v>1244</v>
      </c>
      <c r="B270" s="32" t="s">
        <v>1245</v>
      </c>
      <c r="C270" s="32" t="s">
        <v>1246</v>
      </c>
      <c r="D270" s="32" t="s">
        <v>1106</v>
      </c>
      <c r="E270" s="32" t="s">
        <v>59</v>
      </c>
      <c r="F270" s="32">
        <v>2.1</v>
      </c>
      <c r="G270" s="64" t="s">
        <v>491</v>
      </c>
      <c r="H270" s="62" t="s">
        <v>502</v>
      </c>
      <c r="I270" s="62" t="s">
        <v>503</v>
      </c>
      <c r="J270" s="32">
        <v>3.1</v>
      </c>
      <c r="K270" s="63" t="s">
        <v>664</v>
      </c>
      <c r="L270" s="64" t="s">
        <v>552</v>
      </c>
      <c r="M270" s="64" t="s">
        <v>659</v>
      </c>
      <c r="N270" s="32" t="s">
        <v>782</v>
      </c>
      <c r="O270" s="126"/>
      <c r="P270" s="126"/>
      <c r="Q270" s="126"/>
    </row>
    <row r="271" spans="1:17" ht="156.75" x14ac:dyDescent="0.75">
      <c r="A271" s="61" t="s">
        <v>1247</v>
      </c>
      <c r="B271" s="32" t="s">
        <v>1248</v>
      </c>
      <c r="C271" s="32" t="s">
        <v>1246</v>
      </c>
      <c r="D271" s="32" t="s">
        <v>1106</v>
      </c>
      <c r="E271" s="32" t="s">
        <v>58</v>
      </c>
      <c r="F271" s="32">
        <v>2.1</v>
      </c>
      <c r="G271" s="64" t="s">
        <v>491</v>
      </c>
      <c r="H271" s="62" t="s">
        <v>502</v>
      </c>
      <c r="I271" s="62" t="s">
        <v>503</v>
      </c>
      <c r="J271" s="32">
        <v>6.1</v>
      </c>
      <c r="K271" s="63" t="s">
        <v>66</v>
      </c>
      <c r="L271" s="62" t="s">
        <v>597</v>
      </c>
      <c r="M271" s="64" t="s">
        <v>676</v>
      </c>
      <c r="N271" s="32" t="s">
        <v>782</v>
      </c>
      <c r="O271" s="126"/>
      <c r="P271" s="126"/>
      <c r="Q271" s="126"/>
    </row>
    <row r="272" spans="1:17" ht="142.5" x14ac:dyDescent="0.75">
      <c r="A272" s="61" t="s">
        <v>1249</v>
      </c>
      <c r="B272" s="32" t="s">
        <v>1250</v>
      </c>
      <c r="C272" s="32" t="s">
        <v>1251</v>
      </c>
      <c r="D272" s="32" t="s">
        <v>1106</v>
      </c>
      <c r="E272" s="32" t="s">
        <v>58</v>
      </c>
      <c r="F272" s="32">
        <v>2.1</v>
      </c>
      <c r="G272" s="64" t="s">
        <v>491</v>
      </c>
      <c r="H272" s="62" t="s">
        <v>502</v>
      </c>
      <c r="I272" s="62" t="s">
        <v>503</v>
      </c>
      <c r="J272" s="32">
        <v>6.1</v>
      </c>
      <c r="K272" s="63" t="s">
        <v>66</v>
      </c>
      <c r="L272" s="62" t="s">
        <v>600</v>
      </c>
      <c r="M272" s="62" t="s">
        <v>659</v>
      </c>
      <c r="N272" s="32" t="s">
        <v>782</v>
      </c>
      <c r="O272" s="126"/>
      <c r="P272" s="126"/>
      <c r="Q272" s="126"/>
    </row>
    <row r="273" spans="1:17" ht="156.75" x14ac:dyDescent="0.75">
      <c r="A273" s="61" t="s">
        <v>1252</v>
      </c>
      <c r="B273" s="32" t="s">
        <v>1253</v>
      </c>
      <c r="C273" s="32" t="s">
        <v>1246</v>
      </c>
      <c r="D273" s="32" t="s">
        <v>1106</v>
      </c>
      <c r="E273" s="32" t="s">
        <v>58</v>
      </c>
      <c r="F273" s="32">
        <v>2.1</v>
      </c>
      <c r="G273" s="64" t="s">
        <v>491</v>
      </c>
      <c r="H273" s="62" t="s">
        <v>502</v>
      </c>
      <c r="I273" s="62" t="s">
        <v>503</v>
      </c>
      <c r="J273" s="32">
        <v>5.0999999999999996</v>
      </c>
      <c r="K273" s="63" t="s">
        <v>65</v>
      </c>
      <c r="L273" s="62" t="s">
        <v>1117</v>
      </c>
      <c r="M273" s="62" t="s">
        <v>659</v>
      </c>
      <c r="N273" s="32" t="s">
        <v>782</v>
      </c>
      <c r="O273" s="126"/>
      <c r="P273" s="126"/>
      <c r="Q273" s="126"/>
    </row>
    <row r="274" spans="1:17" ht="185.25" x14ac:dyDescent="0.75">
      <c r="A274" s="61" t="s">
        <v>1254</v>
      </c>
      <c r="B274" s="32" t="s">
        <v>1255</v>
      </c>
      <c r="C274" s="32" t="s">
        <v>1233</v>
      </c>
      <c r="D274" s="32" t="s">
        <v>1106</v>
      </c>
      <c r="E274" s="32" t="s">
        <v>59</v>
      </c>
      <c r="F274" s="32">
        <v>2.1</v>
      </c>
      <c r="G274" s="64" t="s">
        <v>491</v>
      </c>
      <c r="H274" s="62" t="s">
        <v>502</v>
      </c>
      <c r="I274" s="62" t="s">
        <v>503</v>
      </c>
      <c r="J274" s="32">
        <v>2.1</v>
      </c>
      <c r="K274" s="63" t="s">
        <v>658</v>
      </c>
      <c r="L274" s="64" t="s">
        <v>493</v>
      </c>
      <c r="M274" s="64" t="s">
        <v>659</v>
      </c>
      <c r="N274" s="32" t="s">
        <v>782</v>
      </c>
      <c r="O274" s="126"/>
      <c r="P274" s="126"/>
      <c r="Q274" s="126"/>
    </row>
    <row r="275" spans="1:17" ht="142.5" x14ac:dyDescent="0.75">
      <c r="A275" s="61" t="s">
        <v>1256</v>
      </c>
      <c r="B275" s="32" t="s">
        <v>1257</v>
      </c>
      <c r="C275" s="32" t="s">
        <v>1258</v>
      </c>
      <c r="D275" s="32" t="s">
        <v>1106</v>
      </c>
      <c r="E275" s="32" t="s">
        <v>59</v>
      </c>
      <c r="F275" s="32">
        <v>2.1</v>
      </c>
      <c r="G275" s="64" t="s">
        <v>491</v>
      </c>
      <c r="H275" s="62" t="s">
        <v>502</v>
      </c>
      <c r="I275" s="62" t="s">
        <v>503</v>
      </c>
      <c r="J275" s="32">
        <v>3.1</v>
      </c>
      <c r="K275" s="63" t="s">
        <v>664</v>
      </c>
      <c r="L275" s="64" t="s">
        <v>552</v>
      </c>
      <c r="M275" s="64" t="s">
        <v>659</v>
      </c>
      <c r="N275" s="32" t="s">
        <v>782</v>
      </c>
      <c r="O275" s="126"/>
      <c r="P275" s="126"/>
      <c r="Q275" s="126"/>
    </row>
    <row r="276" spans="1:17" ht="142.5" x14ac:dyDescent="0.75">
      <c r="A276" s="61" t="s">
        <v>1259</v>
      </c>
      <c r="B276" s="32" t="s">
        <v>1260</v>
      </c>
      <c r="C276" s="32" t="s">
        <v>1261</v>
      </c>
      <c r="D276" s="32" t="s">
        <v>1106</v>
      </c>
      <c r="E276" s="32" t="s">
        <v>58</v>
      </c>
      <c r="F276" s="32">
        <v>2.1</v>
      </c>
      <c r="G276" s="64" t="s">
        <v>491</v>
      </c>
      <c r="H276" s="62" t="s">
        <v>502</v>
      </c>
      <c r="I276" s="62" t="s">
        <v>503</v>
      </c>
      <c r="J276" s="32">
        <v>6.1</v>
      </c>
      <c r="K276" s="63" t="s">
        <v>66</v>
      </c>
      <c r="L276" s="62" t="s">
        <v>597</v>
      </c>
      <c r="M276" s="64" t="s">
        <v>676</v>
      </c>
      <c r="N276" s="32" t="s">
        <v>782</v>
      </c>
      <c r="O276" s="126"/>
      <c r="P276" s="126"/>
      <c r="Q276" s="126"/>
    </row>
    <row r="277" spans="1:17" ht="142.5" x14ac:dyDescent="0.75">
      <c r="A277" s="61" t="s">
        <v>1262</v>
      </c>
      <c r="B277" s="32" t="s">
        <v>1263</v>
      </c>
      <c r="C277" s="32" t="s">
        <v>1236</v>
      </c>
      <c r="D277" s="32" t="s">
        <v>1106</v>
      </c>
      <c r="E277" s="32" t="s">
        <v>58</v>
      </c>
      <c r="F277" s="32">
        <v>2.1</v>
      </c>
      <c r="G277" s="64" t="s">
        <v>491</v>
      </c>
      <c r="H277" s="62" t="s">
        <v>502</v>
      </c>
      <c r="I277" s="62" t="s">
        <v>503</v>
      </c>
      <c r="J277" s="32">
        <v>6.1</v>
      </c>
      <c r="K277" s="63" t="s">
        <v>66</v>
      </c>
      <c r="L277" s="62" t="s">
        <v>600</v>
      </c>
      <c r="M277" s="62" t="s">
        <v>659</v>
      </c>
      <c r="N277" s="32" t="s">
        <v>782</v>
      </c>
      <c r="O277" s="126"/>
      <c r="P277" s="126"/>
      <c r="Q277" s="126"/>
    </row>
    <row r="278" spans="1:17" ht="171" x14ac:dyDescent="0.75">
      <c r="A278" s="61" t="s">
        <v>1264</v>
      </c>
      <c r="B278" s="32" t="s">
        <v>1265</v>
      </c>
      <c r="C278" s="32" t="s">
        <v>1266</v>
      </c>
      <c r="D278" s="32" t="s">
        <v>1106</v>
      </c>
      <c r="E278" s="32" t="s">
        <v>59</v>
      </c>
      <c r="F278" s="32">
        <v>2.1</v>
      </c>
      <c r="G278" s="64" t="s">
        <v>491</v>
      </c>
      <c r="H278" s="62" t="s">
        <v>505</v>
      </c>
      <c r="I278" s="62" t="s">
        <v>506</v>
      </c>
      <c r="J278" s="32">
        <v>2.1</v>
      </c>
      <c r="K278" s="63" t="s">
        <v>658</v>
      </c>
      <c r="L278" s="64" t="s">
        <v>493</v>
      </c>
      <c r="M278" s="64" t="s">
        <v>659</v>
      </c>
      <c r="N278" s="32" t="s">
        <v>782</v>
      </c>
      <c r="O278" s="126"/>
      <c r="P278" s="126"/>
      <c r="Q278" s="126"/>
    </row>
    <row r="279" spans="1:17" ht="128.25" x14ac:dyDescent="0.75">
      <c r="A279" s="61" t="s">
        <v>1267</v>
      </c>
      <c r="B279" s="32" t="s">
        <v>1268</v>
      </c>
      <c r="C279" s="32" t="s">
        <v>1269</v>
      </c>
      <c r="D279" s="32" t="s">
        <v>1106</v>
      </c>
      <c r="E279" s="32" t="s">
        <v>59</v>
      </c>
      <c r="F279" s="32">
        <v>2.1</v>
      </c>
      <c r="G279" s="64" t="s">
        <v>491</v>
      </c>
      <c r="H279" s="62" t="s">
        <v>505</v>
      </c>
      <c r="I279" s="62" t="s">
        <v>506</v>
      </c>
      <c r="J279" s="32">
        <v>3.1</v>
      </c>
      <c r="K279" s="63" t="s">
        <v>664</v>
      </c>
      <c r="L279" s="64" t="s">
        <v>552</v>
      </c>
      <c r="M279" s="64" t="s">
        <v>659</v>
      </c>
      <c r="N279" s="32" t="s">
        <v>782</v>
      </c>
      <c r="O279" s="126"/>
      <c r="P279" s="126"/>
      <c r="Q279" s="126"/>
    </row>
    <row r="280" spans="1:17" s="72" customFormat="1" ht="128.25" x14ac:dyDescent="0.75">
      <c r="A280" s="61" t="s">
        <v>1270</v>
      </c>
      <c r="B280" s="32" t="s">
        <v>1271</v>
      </c>
      <c r="C280" s="32" t="s">
        <v>1269</v>
      </c>
      <c r="D280" s="32" t="s">
        <v>1106</v>
      </c>
      <c r="E280" s="32" t="s">
        <v>58</v>
      </c>
      <c r="F280" s="32">
        <v>2.1</v>
      </c>
      <c r="G280" s="64" t="s">
        <v>491</v>
      </c>
      <c r="H280" s="62" t="s">
        <v>505</v>
      </c>
      <c r="I280" s="62" t="s">
        <v>506</v>
      </c>
      <c r="J280" s="32">
        <v>5.0999999999999996</v>
      </c>
      <c r="K280" s="64" t="s">
        <v>65</v>
      </c>
      <c r="L280" s="62" t="s">
        <v>1117</v>
      </c>
      <c r="M280" s="62" t="s">
        <v>659</v>
      </c>
      <c r="N280" s="32" t="s">
        <v>782</v>
      </c>
      <c r="O280" s="177"/>
      <c r="P280" s="177"/>
      <c r="Q280" s="177"/>
    </row>
    <row r="281" spans="1:17" ht="128.25" x14ac:dyDescent="0.75">
      <c r="A281" s="61" t="s">
        <v>1272</v>
      </c>
      <c r="B281" s="32" t="s">
        <v>1273</v>
      </c>
      <c r="C281" s="32" t="s">
        <v>1269</v>
      </c>
      <c r="D281" s="32" t="s">
        <v>1106</v>
      </c>
      <c r="E281" s="32" t="s">
        <v>58</v>
      </c>
      <c r="F281" s="32">
        <v>2.1</v>
      </c>
      <c r="G281" s="64" t="s">
        <v>491</v>
      </c>
      <c r="H281" s="62" t="s">
        <v>505</v>
      </c>
      <c r="I281" s="62" t="s">
        <v>506</v>
      </c>
      <c r="J281" s="32">
        <v>5.0999999999999996</v>
      </c>
      <c r="K281" s="66" t="s">
        <v>65</v>
      </c>
      <c r="L281" s="62" t="s">
        <v>1120</v>
      </c>
      <c r="M281" s="62" t="s">
        <v>659</v>
      </c>
      <c r="N281" s="32" t="s">
        <v>782</v>
      </c>
      <c r="O281" s="126"/>
      <c r="P281" s="126"/>
      <c r="Q281" s="126"/>
    </row>
    <row r="282" spans="1:17" ht="171" x14ac:dyDescent="0.75">
      <c r="A282" s="61" t="s">
        <v>1274</v>
      </c>
      <c r="B282" s="32" t="s">
        <v>1275</v>
      </c>
      <c r="C282" s="32" t="s">
        <v>1266</v>
      </c>
      <c r="D282" s="32" t="s">
        <v>1106</v>
      </c>
      <c r="E282" s="32" t="s">
        <v>59</v>
      </c>
      <c r="F282" s="32">
        <v>2.1</v>
      </c>
      <c r="G282" s="64" t="s">
        <v>491</v>
      </c>
      <c r="H282" s="62" t="s">
        <v>505</v>
      </c>
      <c r="I282" s="62" t="s">
        <v>506</v>
      </c>
      <c r="J282" s="32">
        <v>2.1</v>
      </c>
      <c r="K282" s="63" t="s">
        <v>658</v>
      </c>
      <c r="L282" s="64" t="s">
        <v>493</v>
      </c>
      <c r="M282" s="64" t="s">
        <v>659</v>
      </c>
      <c r="N282" s="32" t="s">
        <v>782</v>
      </c>
      <c r="O282" s="126"/>
      <c r="P282" s="126"/>
      <c r="Q282" s="126"/>
    </row>
    <row r="283" spans="1:17" ht="128.25" x14ac:dyDescent="0.75">
      <c r="A283" s="61" t="s">
        <v>1276</v>
      </c>
      <c r="B283" s="32" t="s">
        <v>1277</v>
      </c>
      <c r="C283" s="32" t="s">
        <v>1269</v>
      </c>
      <c r="D283" s="32" t="s">
        <v>1106</v>
      </c>
      <c r="E283" s="32" t="s">
        <v>59</v>
      </c>
      <c r="F283" s="32">
        <v>2.1</v>
      </c>
      <c r="G283" s="64" t="s">
        <v>491</v>
      </c>
      <c r="H283" s="62" t="s">
        <v>505</v>
      </c>
      <c r="I283" s="62" t="s">
        <v>506</v>
      </c>
      <c r="J283" s="32">
        <v>3.1</v>
      </c>
      <c r="K283" s="63" t="s">
        <v>664</v>
      </c>
      <c r="L283" s="64" t="s">
        <v>552</v>
      </c>
      <c r="M283" s="64" t="s">
        <v>659</v>
      </c>
      <c r="N283" s="32" t="s">
        <v>782</v>
      </c>
      <c r="O283" s="126"/>
      <c r="P283" s="126"/>
      <c r="Q283" s="126"/>
    </row>
    <row r="284" spans="1:17" ht="128.25" x14ac:dyDescent="0.75">
      <c r="A284" s="61" t="s">
        <v>1278</v>
      </c>
      <c r="B284" s="32" t="s">
        <v>1279</v>
      </c>
      <c r="C284" s="32" t="s">
        <v>1269</v>
      </c>
      <c r="D284" s="32" t="s">
        <v>1106</v>
      </c>
      <c r="E284" s="32" t="s">
        <v>58</v>
      </c>
      <c r="F284" s="32">
        <v>2.1</v>
      </c>
      <c r="G284" s="64" t="s">
        <v>491</v>
      </c>
      <c r="H284" s="62" t="s">
        <v>505</v>
      </c>
      <c r="I284" s="62" t="s">
        <v>506</v>
      </c>
      <c r="J284" s="32">
        <v>6.1</v>
      </c>
      <c r="K284" s="63" t="s">
        <v>66</v>
      </c>
      <c r="L284" s="62" t="s">
        <v>597</v>
      </c>
      <c r="M284" s="64" t="s">
        <v>676</v>
      </c>
      <c r="N284" s="32" t="s">
        <v>782</v>
      </c>
      <c r="O284" s="126"/>
      <c r="P284" s="126"/>
      <c r="Q284" s="126"/>
    </row>
    <row r="285" spans="1:17" ht="128.25" x14ac:dyDescent="0.75">
      <c r="A285" s="61" t="s">
        <v>1280</v>
      </c>
      <c r="B285" s="32" t="s">
        <v>1281</v>
      </c>
      <c r="C285" s="32" t="s">
        <v>1269</v>
      </c>
      <c r="D285" s="32" t="s">
        <v>1106</v>
      </c>
      <c r="E285" s="32" t="s">
        <v>58</v>
      </c>
      <c r="F285" s="32">
        <v>2.1</v>
      </c>
      <c r="G285" s="64" t="s">
        <v>491</v>
      </c>
      <c r="H285" s="62" t="s">
        <v>505</v>
      </c>
      <c r="I285" s="62" t="s">
        <v>506</v>
      </c>
      <c r="J285" s="32">
        <v>6.1</v>
      </c>
      <c r="K285" s="63" t="s">
        <v>66</v>
      </c>
      <c r="L285" s="62" t="s">
        <v>600</v>
      </c>
      <c r="M285" s="62" t="s">
        <v>659</v>
      </c>
      <c r="N285" s="32" t="s">
        <v>782</v>
      </c>
      <c r="O285" s="126"/>
      <c r="P285" s="126"/>
      <c r="Q285" s="126"/>
    </row>
    <row r="286" spans="1:17" ht="142.5" x14ac:dyDescent="0.75">
      <c r="A286" s="61" t="s">
        <v>1282</v>
      </c>
      <c r="B286" s="32" t="s">
        <v>1283</v>
      </c>
      <c r="C286" s="32" t="s">
        <v>1284</v>
      </c>
      <c r="D286" s="32" t="s">
        <v>1106</v>
      </c>
      <c r="E286" s="32" t="s">
        <v>58</v>
      </c>
      <c r="F286" s="32">
        <v>2.1</v>
      </c>
      <c r="G286" s="64" t="s">
        <v>491</v>
      </c>
      <c r="H286" s="62" t="s">
        <v>505</v>
      </c>
      <c r="I286" s="62" t="s">
        <v>506</v>
      </c>
      <c r="J286" s="32">
        <v>5.0999999999999996</v>
      </c>
      <c r="K286" s="63" t="s">
        <v>65</v>
      </c>
      <c r="L286" s="62" t="s">
        <v>1117</v>
      </c>
      <c r="M286" s="62" t="s">
        <v>659</v>
      </c>
      <c r="N286" s="32" t="s">
        <v>782</v>
      </c>
      <c r="O286" s="126"/>
      <c r="P286" s="126"/>
      <c r="Q286" s="126"/>
    </row>
    <row r="287" spans="1:17" ht="171" x14ac:dyDescent="0.75">
      <c r="A287" s="61" t="s">
        <v>1285</v>
      </c>
      <c r="B287" s="32" t="s">
        <v>1286</v>
      </c>
      <c r="C287" s="32" t="s">
        <v>1266</v>
      </c>
      <c r="D287" s="32" t="s">
        <v>1106</v>
      </c>
      <c r="E287" s="32" t="s">
        <v>59</v>
      </c>
      <c r="F287" s="32">
        <v>2.1</v>
      </c>
      <c r="G287" s="64" t="s">
        <v>491</v>
      </c>
      <c r="H287" s="62" t="s">
        <v>505</v>
      </c>
      <c r="I287" s="62" t="s">
        <v>506</v>
      </c>
      <c r="J287" s="32">
        <v>2.1</v>
      </c>
      <c r="K287" s="63" t="s">
        <v>658</v>
      </c>
      <c r="L287" s="64" t="s">
        <v>493</v>
      </c>
      <c r="M287" s="64" t="s">
        <v>659</v>
      </c>
      <c r="N287" s="32" t="s">
        <v>782</v>
      </c>
      <c r="O287" s="126"/>
      <c r="P287" s="126"/>
      <c r="Q287" s="126"/>
    </row>
    <row r="288" spans="1:17" ht="128.25" x14ac:dyDescent="0.75">
      <c r="A288" s="61" t="s">
        <v>1287</v>
      </c>
      <c r="B288" s="32" t="s">
        <v>1288</v>
      </c>
      <c r="C288" s="32" t="s">
        <v>1269</v>
      </c>
      <c r="D288" s="32" t="s">
        <v>1106</v>
      </c>
      <c r="E288" s="32" t="s">
        <v>59</v>
      </c>
      <c r="F288" s="32">
        <v>2.1</v>
      </c>
      <c r="G288" s="64" t="s">
        <v>491</v>
      </c>
      <c r="H288" s="62" t="s">
        <v>505</v>
      </c>
      <c r="I288" s="62" t="s">
        <v>506</v>
      </c>
      <c r="J288" s="32">
        <v>3.1</v>
      </c>
      <c r="K288" s="63" t="s">
        <v>664</v>
      </c>
      <c r="L288" s="64" t="s">
        <v>552</v>
      </c>
      <c r="M288" s="64" t="s">
        <v>659</v>
      </c>
      <c r="N288" s="32" t="s">
        <v>782</v>
      </c>
      <c r="O288" s="126"/>
      <c r="P288" s="126"/>
      <c r="Q288" s="126"/>
    </row>
    <row r="289" spans="1:17" ht="128.25" x14ac:dyDescent="0.75">
      <c r="A289" s="61" t="s">
        <v>1289</v>
      </c>
      <c r="B289" s="32" t="s">
        <v>1290</v>
      </c>
      <c r="C289" s="32" t="s">
        <v>1269</v>
      </c>
      <c r="D289" s="32" t="s">
        <v>1106</v>
      </c>
      <c r="E289" s="32" t="s">
        <v>58</v>
      </c>
      <c r="F289" s="32">
        <v>2.1</v>
      </c>
      <c r="G289" s="64" t="s">
        <v>491</v>
      </c>
      <c r="H289" s="62" t="s">
        <v>505</v>
      </c>
      <c r="I289" s="62" t="s">
        <v>506</v>
      </c>
      <c r="J289" s="32">
        <v>6.1</v>
      </c>
      <c r="K289" s="63" t="s">
        <v>66</v>
      </c>
      <c r="L289" s="62" t="s">
        <v>597</v>
      </c>
      <c r="M289" s="64" t="s">
        <v>676</v>
      </c>
      <c r="N289" s="32" t="s">
        <v>782</v>
      </c>
      <c r="O289" s="126"/>
      <c r="P289" s="126"/>
      <c r="Q289" s="126"/>
    </row>
    <row r="290" spans="1:17" ht="128.25" x14ac:dyDescent="0.75">
      <c r="A290" s="61" t="s">
        <v>1291</v>
      </c>
      <c r="B290" s="32" t="s">
        <v>1292</v>
      </c>
      <c r="C290" s="32" t="s">
        <v>1269</v>
      </c>
      <c r="D290" s="32" t="s">
        <v>1106</v>
      </c>
      <c r="E290" s="32" t="s">
        <v>58</v>
      </c>
      <c r="F290" s="32">
        <v>2.1</v>
      </c>
      <c r="G290" s="64" t="s">
        <v>491</v>
      </c>
      <c r="H290" s="62" t="s">
        <v>505</v>
      </c>
      <c r="I290" s="62" t="s">
        <v>506</v>
      </c>
      <c r="J290" s="32">
        <v>6.1</v>
      </c>
      <c r="K290" s="63" t="s">
        <v>66</v>
      </c>
      <c r="L290" s="62" t="s">
        <v>600</v>
      </c>
      <c r="M290" s="62" t="s">
        <v>659</v>
      </c>
      <c r="N290" s="32" t="s">
        <v>782</v>
      </c>
      <c r="O290" s="126"/>
      <c r="P290" s="126"/>
      <c r="Q290" s="126"/>
    </row>
    <row r="291" spans="1:17" ht="42.75" x14ac:dyDescent="0.75">
      <c r="A291" s="61" t="s">
        <v>1293</v>
      </c>
      <c r="B291" s="32" t="s">
        <v>1294</v>
      </c>
      <c r="C291" s="32" t="s">
        <v>656</v>
      </c>
      <c r="D291" s="32" t="s">
        <v>1106</v>
      </c>
      <c r="E291" s="32" t="s">
        <v>59</v>
      </c>
      <c r="F291" s="32">
        <v>2.1</v>
      </c>
      <c r="G291" s="64" t="s">
        <v>491</v>
      </c>
      <c r="H291" s="62" t="s">
        <v>508</v>
      </c>
      <c r="I291" s="62" t="s">
        <v>509</v>
      </c>
      <c r="J291" s="32">
        <v>2.1</v>
      </c>
      <c r="K291" s="63" t="s">
        <v>658</v>
      </c>
      <c r="L291" s="64" t="s">
        <v>493</v>
      </c>
      <c r="M291" s="64" t="s">
        <v>659</v>
      </c>
      <c r="N291" s="32" t="s">
        <v>782</v>
      </c>
      <c r="O291" s="65"/>
      <c r="P291" s="65"/>
      <c r="Q291" s="65"/>
    </row>
    <row r="292" spans="1:17" ht="42.75" x14ac:dyDescent="0.75">
      <c r="A292" s="61" t="s">
        <v>1295</v>
      </c>
      <c r="B292" s="32" t="s">
        <v>1296</v>
      </c>
      <c r="D292" s="32" t="s">
        <v>1106</v>
      </c>
      <c r="E292" s="32" t="s">
        <v>59</v>
      </c>
      <c r="F292" s="32">
        <v>2.1</v>
      </c>
      <c r="G292" s="64" t="s">
        <v>491</v>
      </c>
      <c r="H292" s="62" t="s">
        <v>508</v>
      </c>
      <c r="I292" s="62" t="s">
        <v>509</v>
      </c>
      <c r="J292" s="32">
        <v>3.1</v>
      </c>
      <c r="K292" s="63" t="s">
        <v>664</v>
      </c>
      <c r="L292" s="64" t="s">
        <v>552</v>
      </c>
      <c r="M292" s="64" t="s">
        <v>659</v>
      </c>
      <c r="N292" s="32" t="s">
        <v>782</v>
      </c>
      <c r="O292" s="65"/>
      <c r="P292" s="65"/>
      <c r="Q292" s="65"/>
    </row>
    <row r="293" spans="1:17" s="72" customFormat="1" ht="42.75" x14ac:dyDescent="0.75">
      <c r="A293" s="61" t="s">
        <v>1297</v>
      </c>
      <c r="B293" s="32" t="s">
        <v>1298</v>
      </c>
      <c r="C293" s="32"/>
      <c r="D293" s="32" t="s">
        <v>1106</v>
      </c>
      <c r="E293" s="32" t="s">
        <v>58</v>
      </c>
      <c r="F293" s="32">
        <v>2.1</v>
      </c>
      <c r="G293" s="64" t="s">
        <v>491</v>
      </c>
      <c r="H293" s="62" t="s">
        <v>508</v>
      </c>
      <c r="I293" s="62" t="s">
        <v>509</v>
      </c>
      <c r="J293" s="32">
        <v>5.0999999999999996</v>
      </c>
      <c r="K293" s="64" t="s">
        <v>65</v>
      </c>
      <c r="L293" s="62" t="s">
        <v>1117</v>
      </c>
      <c r="M293" s="62" t="s">
        <v>659</v>
      </c>
      <c r="N293" s="32" t="s">
        <v>782</v>
      </c>
      <c r="O293" s="177"/>
      <c r="P293" s="177"/>
      <c r="Q293" s="177"/>
    </row>
    <row r="294" spans="1:17" ht="42.75" x14ac:dyDescent="0.75">
      <c r="A294" s="61" t="s">
        <v>1299</v>
      </c>
      <c r="B294" s="32" t="s">
        <v>1300</v>
      </c>
      <c r="D294" s="32" t="s">
        <v>1106</v>
      </c>
      <c r="E294" s="32" t="s">
        <v>58</v>
      </c>
      <c r="F294" s="32">
        <v>2.1</v>
      </c>
      <c r="G294" s="64" t="s">
        <v>491</v>
      </c>
      <c r="H294" s="62" t="s">
        <v>508</v>
      </c>
      <c r="I294" s="62" t="s">
        <v>509</v>
      </c>
      <c r="J294" s="32">
        <v>5.0999999999999996</v>
      </c>
      <c r="K294" s="66" t="s">
        <v>65</v>
      </c>
      <c r="L294" s="62" t="s">
        <v>1120</v>
      </c>
      <c r="M294" s="62" t="s">
        <v>659</v>
      </c>
      <c r="N294" s="32" t="s">
        <v>782</v>
      </c>
      <c r="O294" s="65"/>
      <c r="P294" s="65"/>
      <c r="Q294" s="65"/>
    </row>
    <row r="295" spans="1:17" ht="42.75" x14ac:dyDescent="0.75">
      <c r="A295" s="61" t="s">
        <v>1301</v>
      </c>
      <c r="B295" s="32" t="s">
        <v>1302</v>
      </c>
      <c r="C295" s="32" t="s">
        <v>656</v>
      </c>
      <c r="D295" s="32" t="s">
        <v>1106</v>
      </c>
      <c r="E295" s="32" t="s">
        <v>59</v>
      </c>
      <c r="F295" s="32">
        <v>2.1</v>
      </c>
      <c r="G295" s="64" t="s">
        <v>491</v>
      </c>
      <c r="H295" s="62" t="s">
        <v>508</v>
      </c>
      <c r="I295" s="62" t="s">
        <v>509</v>
      </c>
      <c r="J295" s="32">
        <v>2.1</v>
      </c>
      <c r="K295" s="63" t="s">
        <v>658</v>
      </c>
      <c r="L295" s="64" t="s">
        <v>493</v>
      </c>
      <c r="M295" s="64" t="s">
        <v>659</v>
      </c>
      <c r="N295" s="32" t="s">
        <v>782</v>
      </c>
      <c r="O295" s="65"/>
      <c r="P295" s="65"/>
      <c r="Q295" s="65"/>
    </row>
    <row r="296" spans="1:17" ht="42.75" x14ac:dyDescent="0.75">
      <c r="A296" s="61" t="s">
        <v>1303</v>
      </c>
      <c r="B296" s="32" t="s">
        <v>1304</v>
      </c>
      <c r="D296" s="32" t="s">
        <v>1106</v>
      </c>
      <c r="E296" s="32" t="s">
        <v>59</v>
      </c>
      <c r="F296" s="32">
        <v>2.1</v>
      </c>
      <c r="G296" s="64" t="s">
        <v>491</v>
      </c>
      <c r="H296" s="62" t="s">
        <v>508</v>
      </c>
      <c r="I296" s="62" t="s">
        <v>509</v>
      </c>
      <c r="J296" s="32">
        <v>3.1</v>
      </c>
      <c r="K296" s="63" t="s">
        <v>664</v>
      </c>
      <c r="L296" s="64" t="s">
        <v>552</v>
      </c>
      <c r="M296" s="64" t="s">
        <v>659</v>
      </c>
      <c r="N296" s="32" t="s">
        <v>782</v>
      </c>
      <c r="O296" s="65"/>
      <c r="P296" s="65"/>
      <c r="Q296" s="65"/>
    </row>
    <row r="297" spans="1:17" ht="42.75" x14ac:dyDescent="0.75">
      <c r="A297" s="61" t="s">
        <v>1305</v>
      </c>
      <c r="B297" s="32" t="s">
        <v>1306</v>
      </c>
      <c r="D297" s="32" t="s">
        <v>1106</v>
      </c>
      <c r="E297" s="32" t="s">
        <v>58</v>
      </c>
      <c r="F297" s="32">
        <v>2.1</v>
      </c>
      <c r="G297" s="64" t="s">
        <v>491</v>
      </c>
      <c r="H297" s="62" t="s">
        <v>508</v>
      </c>
      <c r="I297" s="62" t="s">
        <v>509</v>
      </c>
      <c r="J297" s="32">
        <v>6.1</v>
      </c>
      <c r="K297" s="63" t="s">
        <v>66</v>
      </c>
      <c r="L297" s="62" t="s">
        <v>597</v>
      </c>
      <c r="M297" s="64" t="s">
        <v>676</v>
      </c>
      <c r="N297" s="32" t="s">
        <v>782</v>
      </c>
      <c r="O297" s="65"/>
      <c r="P297" s="65"/>
      <c r="Q297" s="65"/>
    </row>
    <row r="298" spans="1:17" ht="42.75" x14ac:dyDescent="0.75">
      <c r="A298" s="61" t="s">
        <v>1307</v>
      </c>
      <c r="B298" s="32" t="s">
        <v>1308</v>
      </c>
      <c r="D298" s="32" t="s">
        <v>1106</v>
      </c>
      <c r="E298" s="32" t="s">
        <v>58</v>
      </c>
      <c r="F298" s="32">
        <v>2.1</v>
      </c>
      <c r="G298" s="64" t="s">
        <v>491</v>
      </c>
      <c r="H298" s="62" t="s">
        <v>508</v>
      </c>
      <c r="I298" s="62" t="s">
        <v>509</v>
      </c>
      <c r="J298" s="32">
        <v>6.1</v>
      </c>
      <c r="K298" s="63" t="s">
        <v>66</v>
      </c>
      <c r="L298" s="62" t="s">
        <v>600</v>
      </c>
      <c r="M298" s="62" t="s">
        <v>659</v>
      </c>
      <c r="N298" s="32" t="s">
        <v>782</v>
      </c>
      <c r="O298" s="65"/>
      <c r="P298" s="65"/>
      <c r="Q298" s="65"/>
    </row>
    <row r="299" spans="1:17" ht="42.75" x14ac:dyDescent="0.75">
      <c r="A299" s="61" t="s">
        <v>1309</v>
      </c>
      <c r="B299" s="32" t="s">
        <v>1310</v>
      </c>
      <c r="D299" s="32" t="s">
        <v>1106</v>
      </c>
      <c r="E299" s="32" t="s">
        <v>58</v>
      </c>
      <c r="F299" s="32">
        <v>2.1</v>
      </c>
      <c r="G299" s="64" t="s">
        <v>491</v>
      </c>
      <c r="H299" s="62" t="s">
        <v>508</v>
      </c>
      <c r="I299" s="62" t="s">
        <v>509</v>
      </c>
      <c r="J299" s="32">
        <v>5.0999999999999996</v>
      </c>
      <c r="K299" s="63" t="s">
        <v>65</v>
      </c>
      <c r="L299" s="62" t="s">
        <v>1117</v>
      </c>
      <c r="M299" s="62" t="s">
        <v>659</v>
      </c>
      <c r="N299" s="32" t="s">
        <v>782</v>
      </c>
      <c r="O299" s="65"/>
      <c r="P299" s="65"/>
      <c r="Q299" s="65"/>
    </row>
    <row r="300" spans="1:17" ht="42.75" x14ac:dyDescent="0.75">
      <c r="A300" s="61" t="s">
        <v>1311</v>
      </c>
      <c r="B300" s="32" t="s">
        <v>1312</v>
      </c>
      <c r="C300" s="32" t="s">
        <v>656</v>
      </c>
      <c r="D300" s="32" t="s">
        <v>1106</v>
      </c>
      <c r="E300" s="32" t="s">
        <v>59</v>
      </c>
      <c r="F300" s="32">
        <v>2.1</v>
      </c>
      <c r="G300" s="64" t="s">
        <v>491</v>
      </c>
      <c r="H300" s="62" t="s">
        <v>508</v>
      </c>
      <c r="I300" s="62" t="s">
        <v>509</v>
      </c>
      <c r="J300" s="32">
        <v>2.1</v>
      </c>
      <c r="K300" s="63" t="s">
        <v>658</v>
      </c>
      <c r="L300" s="64" t="s">
        <v>493</v>
      </c>
      <c r="M300" s="64" t="s">
        <v>659</v>
      </c>
      <c r="N300" s="32" t="s">
        <v>782</v>
      </c>
      <c r="O300" s="65"/>
      <c r="P300" s="65"/>
      <c r="Q300" s="65"/>
    </row>
    <row r="301" spans="1:17" ht="42.75" x14ac:dyDescent="0.75">
      <c r="A301" s="61" t="s">
        <v>1313</v>
      </c>
      <c r="B301" s="32" t="s">
        <v>1314</v>
      </c>
      <c r="D301" s="32" t="s">
        <v>1106</v>
      </c>
      <c r="E301" s="32" t="s">
        <v>59</v>
      </c>
      <c r="F301" s="32">
        <v>2.1</v>
      </c>
      <c r="G301" s="64" t="s">
        <v>491</v>
      </c>
      <c r="H301" s="62" t="s">
        <v>508</v>
      </c>
      <c r="I301" s="62" t="s">
        <v>509</v>
      </c>
      <c r="J301" s="32">
        <v>3.1</v>
      </c>
      <c r="K301" s="63" t="s">
        <v>664</v>
      </c>
      <c r="L301" s="64" t="s">
        <v>552</v>
      </c>
      <c r="M301" s="64" t="s">
        <v>659</v>
      </c>
      <c r="N301" s="32" t="s">
        <v>782</v>
      </c>
      <c r="O301" s="65"/>
      <c r="P301" s="65"/>
      <c r="Q301" s="65"/>
    </row>
    <row r="302" spans="1:17" ht="42.75" x14ac:dyDescent="0.75">
      <c r="A302" s="61" t="s">
        <v>1315</v>
      </c>
      <c r="B302" s="32" t="s">
        <v>1316</v>
      </c>
      <c r="D302" s="32" t="s">
        <v>1106</v>
      </c>
      <c r="E302" s="32" t="s">
        <v>58</v>
      </c>
      <c r="F302" s="32">
        <v>2.1</v>
      </c>
      <c r="G302" s="64" t="s">
        <v>491</v>
      </c>
      <c r="H302" s="62" t="s">
        <v>508</v>
      </c>
      <c r="I302" s="62" t="s">
        <v>509</v>
      </c>
      <c r="J302" s="32">
        <v>6.1</v>
      </c>
      <c r="K302" s="63" t="s">
        <v>66</v>
      </c>
      <c r="L302" s="62" t="s">
        <v>597</v>
      </c>
      <c r="M302" s="64" t="s">
        <v>676</v>
      </c>
      <c r="N302" s="32" t="s">
        <v>782</v>
      </c>
      <c r="O302" s="65"/>
      <c r="P302" s="65"/>
      <c r="Q302" s="65"/>
    </row>
    <row r="303" spans="1:17" ht="42.75" x14ac:dyDescent="0.75">
      <c r="A303" s="61" t="s">
        <v>1317</v>
      </c>
      <c r="B303" s="32" t="s">
        <v>1318</v>
      </c>
      <c r="D303" s="32" t="s">
        <v>1106</v>
      </c>
      <c r="E303" s="32" t="s">
        <v>58</v>
      </c>
      <c r="F303" s="32">
        <v>2.1</v>
      </c>
      <c r="G303" s="64" t="s">
        <v>491</v>
      </c>
      <c r="H303" s="62" t="s">
        <v>508</v>
      </c>
      <c r="I303" s="62" t="s">
        <v>509</v>
      </c>
      <c r="J303" s="32">
        <v>6.1</v>
      </c>
      <c r="K303" s="63" t="s">
        <v>66</v>
      </c>
      <c r="L303" s="62" t="s">
        <v>600</v>
      </c>
      <c r="M303" s="62" t="s">
        <v>659</v>
      </c>
      <c r="N303" s="32" t="s">
        <v>782</v>
      </c>
      <c r="O303" s="65"/>
      <c r="P303" s="65"/>
      <c r="Q303" s="65"/>
    </row>
    <row r="304" spans="1:17" ht="99.75" x14ac:dyDescent="0.75">
      <c r="A304" s="61" t="s">
        <v>1319</v>
      </c>
      <c r="B304" s="32" t="s">
        <v>1320</v>
      </c>
      <c r="C304" s="32" t="s">
        <v>1321</v>
      </c>
      <c r="D304" s="32" t="s">
        <v>1106</v>
      </c>
      <c r="E304" s="32" t="s">
        <v>59</v>
      </c>
      <c r="F304" s="32">
        <v>2.2000000000000002</v>
      </c>
      <c r="G304" s="64" t="s">
        <v>511</v>
      </c>
      <c r="H304" s="62" t="s">
        <v>513</v>
      </c>
      <c r="I304" s="62" t="s">
        <v>514</v>
      </c>
      <c r="J304" s="32">
        <v>2.1</v>
      </c>
      <c r="K304" s="63" t="s">
        <v>658</v>
      </c>
      <c r="L304" s="64" t="s">
        <v>493</v>
      </c>
      <c r="M304" s="64" t="s">
        <v>659</v>
      </c>
      <c r="N304" s="32" t="s">
        <v>782</v>
      </c>
      <c r="O304" s="65"/>
      <c r="P304" s="65"/>
      <c r="Q304" s="65"/>
    </row>
    <row r="305" spans="1:17" ht="57" x14ac:dyDescent="0.75">
      <c r="A305" s="61" t="s">
        <v>1322</v>
      </c>
      <c r="B305" s="32" t="s">
        <v>1323</v>
      </c>
      <c r="C305" s="32" t="s">
        <v>1324</v>
      </c>
      <c r="D305" s="32" t="s">
        <v>1106</v>
      </c>
      <c r="E305" s="32" t="s">
        <v>59</v>
      </c>
      <c r="F305" s="32">
        <v>2.2000000000000002</v>
      </c>
      <c r="G305" s="64" t="s">
        <v>511</v>
      </c>
      <c r="H305" s="62" t="s">
        <v>513</v>
      </c>
      <c r="I305" s="62" t="s">
        <v>514</v>
      </c>
      <c r="J305" s="32">
        <v>3.1</v>
      </c>
      <c r="K305" s="63" t="s">
        <v>664</v>
      </c>
      <c r="L305" s="64" t="s">
        <v>552</v>
      </c>
      <c r="M305" s="64" t="s">
        <v>659</v>
      </c>
      <c r="N305" s="32" t="s">
        <v>782</v>
      </c>
      <c r="O305" s="65"/>
      <c r="P305" s="65"/>
      <c r="Q305" s="65"/>
    </row>
    <row r="306" spans="1:17" ht="57" x14ac:dyDescent="0.75">
      <c r="A306" s="61" t="s">
        <v>1325</v>
      </c>
      <c r="B306" s="32" t="s">
        <v>1326</v>
      </c>
      <c r="C306" s="32" t="s">
        <v>1324</v>
      </c>
      <c r="D306" s="32" t="s">
        <v>1106</v>
      </c>
      <c r="E306" s="32" t="s">
        <v>58</v>
      </c>
      <c r="F306" s="32">
        <v>2.2000000000000002</v>
      </c>
      <c r="G306" s="64" t="s">
        <v>511</v>
      </c>
      <c r="H306" s="62" t="s">
        <v>513</v>
      </c>
      <c r="I306" s="62" t="s">
        <v>514</v>
      </c>
      <c r="J306" s="32">
        <v>5.0999999999999996</v>
      </c>
      <c r="K306" s="63" t="s">
        <v>65</v>
      </c>
      <c r="L306" s="62" t="s">
        <v>1117</v>
      </c>
      <c r="M306" s="62" t="s">
        <v>659</v>
      </c>
      <c r="N306" s="32" t="s">
        <v>782</v>
      </c>
      <c r="O306" s="65"/>
      <c r="P306" s="65"/>
      <c r="Q306" s="65"/>
    </row>
    <row r="307" spans="1:17" ht="57" x14ac:dyDescent="0.75">
      <c r="A307" s="61" t="s">
        <v>1327</v>
      </c>
      <c r="B307" s="32" t="s">
        <v>1328</v>
      </c>
      <c r="C307" s="32" t="s">
        <v>1324</v>
      </c>
      <c r="D307" s="32" t="s">
        <v>1106</v>
      </c>
      <c r="E307" s="32" t="s">
        <v>58</v>
      </c>
      <c r="F307" s="32">
        <v>2.2000000000000002</v>
      </c>
      <c r="G307" s="64" t="s">
        <v>511</v>
      </c>
      <c r="H307" s="62" t="s">
        <v>513</v>
      </c>
      <c r="I307" s="62" t="s">
        <v>514</v>
      </c>
      <c r="J307" s="32">
        <v>5.0999999999999996</v>
      </c>
      <c r="K307" s="66" t="s">
        <v>65</v>
      </c>
      <c r="L307" s="62" t="s">
        <v>1120</v>
      </c>
      <c r="M307" s="62" t="s">
        <v>659</v>
      </c>
      <c r="N307" s="32" t="s">
        <v>782</v>
      </c>
      <c r="O307" s="65"/>
      <c r="P307" s="65"/>
      <c r="Q307" s="65"/>
    </row>
    <row r="308" spans="1:17" ht="142.5" x14ac:dyDescent="0.75">
      <c r="A308" s="61" t="s">
        <v>1329</v>
      </c>
      <c r="B308" s="32" t="s">
        <v>1330</v>
      </c>
      <c r="C308" s="32" t="s">
        <v>1331</v>
      </c>
      <c r="D308" s="32" t="s">
        <v>1106</v>
      </c>
      <c r="E308" s="32" t="s">
        <v>59</v>
      </c>
      <c r="F308" s="32">
        <v>2.2000000000000002</v>
      </c>
      <c r="G308" s="64" t="s">
        <v>511</v>
      </c>
      <c r="H308" s="62" t="s">
        <v>513</v>
      </c>
      <c r="I308" s="62" t="s">
        <v>514</v>
      </c>
      <c r="J308" s="32">
        <v>2.1</v>
      </c>
      <c r="K308" s="63" t="s">
        <v>658</v>
      </c>
      <c r="L308" s="64" t="s">
        <v>493</v>
      </c>
      <c r="M308" s="64" t="s">
        <v>659</v>
      </c>
      <c r="N308" s="32" t="s">
        <v>782</v>
      </c>
      <c r="O308" s="65"/>
      <c r="P308" s="65"/>
      <c r="Q308" s="65"/>
    </row>
    <row r="309" spans="1:17" ht="99.75" x14ac:dyDescent="0.75">
      <c r="A309" s="61" t="s">
        <v>1332</v>
      </c>
      <c r="B309" s="32" t="s">
        <v>1333</v>
      </c>
      <c r="C309" s="32" t="s">
        <v>1334</v>
      </c>
      <c r="D309" s="32" t="s">
        <v>1106</v>
      </c>
      <c r="E309" s="32" t="s">
        <v>59</v>
      </c>
      <c r="F309" s="32">
        <v>2.2000000000000002</v>
      </c>
      <c r="G309" s="64" t="s">
        <v>511</v>
      </c>
      <c r="H309" s="62" t="s">
        <v>513</v>
      </c>
      <c r="I309" s="62" t="s">
        <v>514</v>
      </c>
      <c r="J309" s="32">
        <v>3.1</v>
      </c>
      <c r="K309" s="63" t="s">
        <v>664</v>
      </c>
      <c r="L309" s="64" t="s">
        <v>552</v>
      </c>
      <c r="M309" s="64" t="s">
        <v>659</v>
      </c>
      <c r="N309" s="32" t="s">
        <v>782</v>
      </c>
      <c r="O309" s="65"/>
      <c r="P309" s="65"/>
      <c r="Q309" s="65"/>
    </row>
    <row r="310" spans="1:17" ht="99.75" x14ac:dyDescent="0.75">
      <c r="A310" s="61" t="s">
        <v>1335</v>
      </c>
      <c r="B310" s="32" t="s">
        <v>1336</v>
      </c>
      <c r="C310" s="32" t="s">
        <v>1334</v>
      </c>
      <c r="D310" s="32" t="s">
        <v>1106</v>
      </c>
      <c r="E310" s="32" t="s">
        <v>58</v>
      </c>
      <c r="F310" s="32">
        <v>2.2000000000000002</v>
      </c>
      <c r="G310" s="64" t="s">
        <v>511</v>
      </c>
      <c r="H310" s="62" t="s">
        <v>513</v>
      </c>
      <c r="I310" s="62" t="s">
        <v>514</v>
      </c>
      <c r="J310" s="32">
        <v>6.1</v>
      </c>
      <c r="K310" s="63" t="s">
        <v>66</v>
      </c>
      <c r="L310" s="62" t="s">
        <v>597</v>
      </c>
      <c r="M310" s="64" t="s">
        <v>676</v>
      </c>
      <c r="N310" s="32" t="s">
        <v>782</v>
      </c>
      <c r="O310" s="65"/>
      <c r="P310" s="65"/>
      <c r="Q310" s="65"/>
    </row>
    <row r="311" spans="1:17" ht="99.75" x14ac:dyDescent="0.75">
      <c r="A311" s="61" t="s">
        <v>1337</v>
      </c>
      <c r="B311" s="32" t="s">
        <v>1338</v>
      </c>
      <c r="C311" s="32" t="s">
        <v>1334</v>
      </c>
      <c r="D311" s="32" t="s">
        <v>1106</v>
      </c>
      <c r="E311" s="32" t="s">
        <v>58</v>
      </c>
      <c r="F311" s="32">
        <v>2.2000000000000002</v>
      </c>
      <c r="G311" s="64" t="s">
        <v>511</v>
      </c>
      <c r="H311" s="62" t="s">
        <v>513</v>
      </c>
      <c r="I311" s="62" t="s">
        <v>514</v>
      </c>
      <c r="J311" s="32">
        <v>6.1</v>
      </c>
      <c r="K311" s="63" t="s">
        <v>66</v>
      </c>
      <c r="L311" s="62" t="s">
        <v>600</v>
      </c>
      <c r="M311" s="62" t="s">
        <v>659</v>
      </c>
      <c r="N311" s="32" t="s">
        <v>782</v>
      </c>
      <c r="O311" s="65"/>
      <c r="P311" s="65"/>
      <c r="Q311" s="65"/>
    </row>
    <row r="312" spans="1:17" ht="99.75" x14ac:dyDescent="0.75">
      <c r="A312" s="61" t="s">
        <v>1339</v>
      </c>
      <c r="B312" s="32" t="s">
        <v>1340</v>
      </c>
      <c r="C312" s="32" t="s">
        <v>1321</v>
      </c>
      <c r="D312" s="32" t="s">
        <v>1106</v>
      </c>
      <c r="E312" s="32" t="s">
        <v>59</v>
      </c>
      <c r="F312" s="32">
        <v>2.2000000000000002</v>
      </c>
      <c r="G312" s="64" t="s">
        <v>511</v>
      </c>
      <c r="H312" s="62" t="s">
        <v>519</v>
      </c>
      <c r="I312" s="62" t="s">
        <v>520</v>
      </c>
      <c r="J312" s="32">
        <v>2.1</v>
      </c>
      <c r="K312" s="63" t="s">
        <v>658</v>
      </c>
      <c r="L312" s="64" t="s">
        <v>493</v>
      </c>
      <c r="M312" s="64" t="s">
        <v>659</v>
      </c>
      <c r="N312" s="32" t="s">
        <v>782</v>
      </c>
      <c r="O312" s="65"/>
      <c r="P312" s="65"/>
      <c r="Q312" s="65"/>
    </row>
    <row r="313" spans="1:17" ht="57" x14ac:dyDescent="0.75">
      <c r="A313" s="61" t="s">
        <v>1341</v>
      </c>
      <c r="B313" s="32" t="s">
        <v>1342</v>
      </c>
      <c r="C313" s="32" t="s">
        <v>1324</v>
      </c>
      <c r="D313" s="32" t="s">
        <v>1106</v>
      </c>
      <c r="E313" s="32" t="s">
        <v>59</v>
      </c>
      <c r="F313" s="32">
        <v>2.2000000000000002</v>
      </c>
      <c r="G313" s="64" t="s">
        <v>511</v>
      </c>
      <c r="H313" s="62" t="s">
        <v>519</v>
      </c>
      <c r="I313" s="62" t="s">
        <v>520</v>
      </c>
      <c r="J313" s="32">
        <v>3.1</v>
      </c>
      <c r="K313" s="63" t="s">
        <v>664</v>
      </c>
      <c r="L313" s="64" t="s">
        <v>552</v>
      </c>
      <c r="M313" s="64" t="s">
        <v>659</v>
      </c>
      <c r="N313" s="32" t="s">
        <v>782</v>
      </c>
      <c r="O313" s="65"/>
      <c r="P313" s="65"/>
      <c r="Q313" s="65"/>
    </row>
    <row r="314" spans="1:17" ht="57" x14ac:dyDescent="0.75">
      <c r="A314" s="61" t="s">
        <v>1343</v>
      </c>
      <c r="B314" s="32" t="s">
        <v>1344</v>
      </c>
      <c r="C314" s="32" t="s">
        <v>1324</v>
      </c>
      <c r="D314" s="32" t="s">
        <v>1106</v>
      </c>
      <c r="E314" s="32" t="s">
        <v>58</v>
      </c>
      <c r="F314" s="32">
        <v>2.2000000000000002</v>
      </c>
      <c r="G314" s="64" t="s">
        <v>511</v>
      </c>
      <c r="H314" s="62" t="s">
        <v>519</v>
      </c>
      <c r="I314" s="62" t="s">
        <v>520</v>
      </c>
      <c r="J314" s="32">
        <v>5.0999999999999996</v>
      </c>
      <c r="K314" s="63" t="s">
        <v>65</v>
      </c>
      <c r="L314" s="62" t="s">
        <v>1117</v>
      </c>
      <c r="M314" s="62" t="s">
        <v>659</v>
      </c>
      <c r="N314" s="32" t="s">
        <v>782</v>
      </c>
      <c r="O314" s="65"/>
      <c r="P314" s="65"/>
      <c r="Q314" s="65"/>
    </row>
    <row r="315" spans="1:17" ht="57" x14ac:dyDescent="0.75">
      <c r="A315" s="61" t="s">
        <v>1345</v>
      </c>
      <c r="B315" s="32" t="s">
        <v>1346</v>
      </c>
      <c r="C315" s="32" t="s">
        <v>1324</v>
      </c>
      <c r="D315" s="32" t="s">
        <v>1106</v>
      </c>
      <c r="E315" s="32" t="s">
        <v>58</v>
      </c>
      <c r="F315" s="32">
        <v>2.2000000000000002</v>
      </c>
      <c r="G315" s="64" t="s">
        <v>511</v>
      </c>
      <c r="H315" s="62" t="s">
        <v>519</v>
      </c>
      <c r="I315" s="62" t="s">
        <v>520</v>
      </c>
      <c r="J315" s="32">
        <v>5.0999999999999996</v>
      </c>
      <c r="K315" s="66" t="s">
        <v>65</v>
      </c>
      <c r="L315" s="62" t="s">
        <v>1120</v>
      </c>
      <c r="M315" s="62" t="s">
        <v>659</v>
      </c>
      <c r="N315" s="32" t="s">
        <v>782</v>
      </c>
      <c r="O315" s="65"/>
      <c r="P315" s="65"/>
      <c r="Q315" s="65"/>
    </row>
    <row r="316" spans="1:17" ht="142.5" x14ac:dyDescent="0.75">
      <c r="A316" s="61" t="s">
        <v>1347</v>
      </c>
      <c r="B316" s="32" t="s">
        <v>1348</v>
      </c>
      <c r="C316" s="32" t="s">
        <v>1349</v>
      </c>
      <c r="D316" s="32" t="s">
        <v>1106</v>
      </c>
      <c r="E316" s="32" t="s">
        <v>59</v>
      </c>
      <c r="F316" s="32">
        <v>2.2000000000000002</v>
      </c>
      <c r="G316" s="64" t="s">
        <v>511</v>
      </c>
      <c r="H316" s="62" t="s">
        <v>519</v>
      </c>
      <c r="I316" s="62" t="s">
        <v>520</v>
      </c>
      <c r="J316" s="32">
        <v>2.1</v>
      </c>
      <c r="K316" s="63" t="s">
        <v>658</v>
      </c>
      <c r="L316" s="64" t="s">
        <v>493</v>
      </c>
      <c r="M316" s="64" t="s">
        <v>659</v>
      </c>
      <c r="N316" s="32" t="s">
        <v>782</v>
      </c>
      <c r="O316" s="65"/>
      <c r="P316" s="65"/>
      <c r="Q316" s="65"/>
    </row>
    <row r="317" spans="1:17" ht="99.75" x14ac:dyDescent="0.75">
      <c r="A317" s="61" t="s">
        <v>1350</v>
      </c>
      <c r="B317" s="32" t="s">
        <v>1351</v>
      </c>
      <c r="C317" s="32" t="s">
        <v>1334</v>
      </c>
      <c r="D317" s="32" t="s">
        <v>1106</v>
      </c>
      <c r="E317" s="32" t="s">
        <v>59</v>
      </c>
      <c r="F317" s="32">
        <v>2.2000000000000002</v>
      </c>
      <c r="G317" s="64" t="s">
        <v>511</v>
      </c>
      <c r="H317" s="62" t="s">
        <v>519</v>
      </c>
      <c r="I317" s="62" t="s">
        <v>520</v>
      </c>
      <c r="J317" s="32">
        <v>3.1</v>
      </c>
      <c r="K317" s="63" t="s">
        <v>664</v>
      </c>
      <c r="L317" s="64" t="s">
        <v>552</v>
      </c>
      <c r="M317" s="64" t="s">
        <v>659</v>
      </c>
      <c r="N317" s="32" t="s">
        <v>782</v>
      </c>
      <c r="O317" s="65"/>
      <c r="P317" s="65"/>
      <c r="Q317" s="65"/>
    </row>
    <row r="318" spans="1:17" ht="99.75" x14ac:dyDescent="0.75">
      <c r="A318" s="61" t="s">
        <v>1352</v>
      </c>
      <c r="B318" s="32" t="s">
        <v>1353</v>
      </c>
      <c r="C318" s="32" t="s">
        <v>1334</v>
      </c>
      <c r="D318" s="32" t="s">
        <v>1106</v>
      </c>
      <c r="E318" s="32" t="s">
        <v>58</v>
      </c>
      <c r="F318" s="32">
        <v>2.2000000000000002</v>
      </c>
      <c r="G318" s="64" t="s">
        <v>511</v>
      </c>
      <c r="H318" s="62" t="s">
        <v>519</v>
      </c>
      <c r="I318" s="62" t="s">
        <v>520</v>
      </c>
      <c r="J318" s="32">
        <v>6.1</v>
      </c>
      <c r="K318" s="63" t="s">
        <v>66</v>
      </c>
      <c r="L318" s="62" t="s">
        <v>597</v>
      </c>
      <c r="M318" s="64" t="s">
        <v>676</v>
      </c>
      <c r="N318" s="32" t="s">
        <v>782</v>
      </c>
      <c r="O318" s="65"/>
      <c r="P318" s="65"/>
      <c r="Q318" s="65"/>
    </row>
    <row r="319" spans="1:17" ht="99.75" x14ac:dyDescent="0.75">
      <c r="A319" s="61" t="s">
        <v>1354</v>
      </c>
      <c r="B319" s="32" t="s">
        <v>1355</v>
      </c>
      <c r="C319" s="32" t="s">
        <v>1334</v>
      </c>
      <c r="D319" s="32" t="s">
        <v>1106</v>
      </c>
      <c r="E319" s="32" t="s">
        <v>58</v>
      </c>
      <c r="F319" s="32">
        <v>2.2000000000000002</v>
      </c>
      <c r="G319" s="64" t="s">
        <v>511</v>
      </c>
      <c r="H319" s="62" t="s">
        <v>519</v>
      </c>
      <c r="I319" s="62" t="s">
        <v>520</v>
      </c>
      <c r="J319" s="32">
        <v>6.1</v>
      </c>
      <c r="K319" s="63" t="s">
        <v>66</v>
      </c>
      <c r="L319" s="62" t="s">
        <v>600</v>
      </c>
      <c r="M319" s="62" t="s">
        <v>659</v>
      </c>
      <c r="N319" s="32" t="s">
        <v>782</v>
      </c>
      <c r="O319" s="65"/>
      <c r="P319" s="65"/>
      <c r="Q319" s="65"/>
    </row>
    <row r="320" spans="1:17" ht="99.75" x14ac:dyDescent="0.75">
      <c r="A320" s="61" t="s">
        <v>1356</v>
      </c>
      <c r="B320" s="32" t="s">
        <v>1357</v>
      </c>
      <c r="C320" s="32" t="s">
        <v>1321</v>
      </c>
      <c r="D320" s="32" t="s">
        <v>1106</v>
      </c>
      <c r="E320" s="32" t="s">
        <v>59</v>
      </c>
      <c r="F320" s="32">
        <v>2.2000000000000002</v>
      </c>
      <c r="G320" s="64" t="s">
        <v>511</v>
      </c>
      <c r="H320" s="62" t="s">
        <v>516</v>
      </c>
      <c r="I320" s="62" t="s">
        <v>517</v>
      </c>
      <c r="J320" s="32">
        <v>2.1</v>
      </c>
      <c r="K320" s="63" t="s">
        <v>658</v>
      </c>
      <c r="L320" s="64" t="s">
        <v>493</v>
      </c>
      <c r="M320" s="64" t="s">
        <v>659</v>
      </c>
      <c r="N320" s="32" t="s">
        <v>782</v>
      </c>
      <c r="O320" s="65"/>
      <c r="P320" s="65"/>
      <c r="Q320" s="65"/>
    </row>
    <row r="321" spans="1:17" ht="57" x14ac:dyDescent="0.75">
      <c r="A321" s="61" t="s">
        <v>1358</v>
      </c>
      <c r="B321" s="32" t="s">
        <v>1359</v>
      </c>
      <c r="C321" s="32" t="s">
        <v>1324</v>
      </c>
      <c r="D321" s="32" t="s">
        <v>1106</v>
      </c>
      <c r="E321" s="32" t="s">
        <v>59</v>
      </c>
      <c r="F321" s="32">
        <v>2.2000000000000002</v>
      </c>
      <c r="G321" s="64" t="s">
        <v>511</v>
      </c>
      <c r="H321" s="62" t="s">
        <v>516</v>
      </c>
      <c r="I321" s="62" t="s">
        <v>517</v>
      </c>
      <c r="J321" s="32">
        <v>3.1</v>
      </c>
      <c r="K321" s="63" t="s">
        <v>664</v>
      </c>
      <c r="L321" s="64" t="s">
        <v>552</v>
      </c>
      <c r="M321" s="64" t="s">
        <v>659</v>
      </c>
      <c r="N321" s="32" t="s">
        <v>782</v>
      </c>
      <c r="O321" s="65"/>
      <c r="P321" s="65"/>
      <c r="Q321" s="65"/>
    </row>
    <row r="322" spans="1:17" ht="57" x14ac:dyDescent="0.75">
      <c r="A322" s="61" t="s">
        <v>1360</v>
      </c>
      <c r="B322" s="32" t="s">
        <v>1361</v>
      </c>
      <c r="C322" s="32" t="s">
        <v>1324</v>
      </c>
      <c r="D322" s="32" t="s">
        <v>1106</v>
      </c>
      <c r="E322" s="32" t="s">
        <v>58</v>
      </c>
      <c r="F322" s="32">
        <v>2.2000000000000002</v>
      </c>
      <c r="G322" s="64" t="s">
        <v>511</v>
      </c>
      <c r="H322" s="62" t="s">
        <v>516</v>
      </c>
      <c r="I322" s="62" t="s">
        <v>517</v>
      </c>
      <c r="J322" s="32">
        <v>5.0999999999999996</v>
      </c>
      <c r="K322" s="63" t="s">
        <v>65</v>
      </c>
      <c r="L322" s="62" t="s">
        <v>1117</v>
      </c>
      <c r="M322" s="64" t="s">
        <v>659</v>
      </c>
      <c r="N322" s="32" t="s">
        <v>782</v>
      </c>
      <c r="O322" s="65"/>
      <c r="P322" s="65"/>
      <c r="Q322" s="65"/>
    </row>
    <row r="323" spans="1:17" ht="57" x14ac:dyDescent="0.75">
      <c r="A323" s="61" t="s">
        <v>1362</v>
      </c>
      <c r="B323" s="32" t="s">
        <v>1363</v>
      </c>
      <c r="C323" s="32" t="s">
        <v>1324</v>
      </c>
      <c r="D323" s="32" t="s">
        <v>1106</v>
      </c>
      <c r="E323" s="32" t="s">
        <v>58</v>
      </c>
      <c r="F323" s="32">
        <v>2.2000000000000002</v>
      </c>
      <c r="G323" s="64" t="s">
        <v>511</v>
      </c>
      <c r="H323" s="62" t="s">
        <v>516</v>
      </c>
      <c r="I323" s="62" t="s">
        <v>517</v>
      </c>
      <c r="J323" s="32">
        <v>5.0999999999999996</v>
      </c>
      <c r="K323" s="66" t="s">
        <v>65</v>
      </c>
      <c r="L323" s="62" t="s">
        <v>1120</v>
      </c>
      <c r="M323" s="62" t="s">
        <v>659</v>
      </c>
      <c r="N323" s="32" t="s">
        <v>782</v>
      </c>
      <c r="O323" s="65"/>
      <c r="P323" s="65"/>
      <c r="Q323" s="65"/>
    </row>
    <row r="324" spans="1:17" ht="142.5" x14ac:dyDescent="0.75">
      <c r="A324" s="61" t="s">
        <v>1364</v>
      </c>
      <c r="B324" s="32" t="s">
        <v>1365</v>
      </c>
      <c r="C324" s="32" t="s">
        <v>1349</v>
      </c>
      <c r="D324" s="32" t="s">
        <v>1106</v>
      </c>
      <c r="E324" s="32" t="s">
        <v>59</v>
      </c>
      <c r="F324" s="32">
        <v>2.2000000000000002</v>
      </c>
      <c r="G324" s="64" t="s">
        <v>511</v>
      </c>
      <c r="H324" s="62" t="s">
        <v>516</v>
      </c>
      <c r="I324" s="62" t="s">
        <v>517</v>
      </c>
      <c r="J324" s="32">
        <v>2.1</v>
      </c>
      <c r="K324" s="63" t="s">
        <v>658</v>
      </c>
      <c r="L324" s="64" t="s">
        <v>493</v>
      </c>
      <c r="M324" s="64" t="s">
        <v>659</v>
      </c>
      <c r="N324" s="32" t="s">
        <v>782</v>
      </c>
      <c r="O324" s="65"/>
      <c r="P324" s="65"/>
      <c r="Q324" s="65"/>
    </row>
    <row r="325" spans="1:17" ht="99.75" x14ac:dyDescent="0.75">
      <c r="A325" s="61" t="s">
        <v>1366</v>
      </c>
      <c r="B325" s="32" t="s">
        <v>1367</v>
      </c>
      <c r="C325" s="32" t="s">
        <v>1334</v>
      </c>
      <c r="D325" s="32" t="s">
        <v>1106</v>
      </c>
      <c r="E325" s="32" t="s">
        <v>59</v>
      </c>
      <c r="F325" s="32">
        <v>2.2000000000000002</v>
      </c>
      <c r="G325" s="64" t="s">
        <v>511</v>
      </c>
      <c r="H325" s="62" t="s">
        <v>516</v>
      </c>
      <c r="I325" s="62" t="s">
        <v>517</v>
      </c>
      <c r="J325" s="32">
        <v>3.1</v>
      </c>
      <c r="K325" s="63" t="s">
        <v>664</v>
      </c>
      <c r="L325" s="64" t="s">
        <v>552</v>
      </c>
      <c r="M325" s="64" t="s">
        <v>659</v>
      </c>
      <c r="N325" s="32" t="s">
        <v>782</v>
      </c>
      <c r="O325" s="65"/>
      <c r="P325" s="65"/>
      <c r="Q325" s="65"/>
    </row>
    <row r="326" spans="1:17" ht="99.75" x14ac:dyDescent="0.75">
      <c r="A326" s="61" t="s">
        <v>1368</v>
      </c>
      <c r="B326" s="32" t="s">
        <v>1369</v>
      </c>
      <c r="C326" s="32" t="s">
        <v>1334</v>
      </c>
      <c r="D326" s="32" t="s">
        <v>1106</v>
      </c>
      <c r="E326" s="32" t="s">
        <v>58</v>
      </c>
      <c r="F326" s="32">
        <v>2.2000000000000002</v>
      </c>
      <c r="G326" s="64" t="s">
        <v>511</v>
      </c>
      <c r="H326" s="62" t="s">
        <v>516</v>
      </c>
      <c r="I326" s="62" t="s">
        <v>517</v>
      </c>
      <c r="J326" s="32">
        <v>6.1</v>
      </c>
      <c r="K326" s="63" t="s">
        <v>66</v>
      </c>
      <c r="L326" s="62" t="s">
        <v>597</v>
      </c>
      <c r="M326" s="64" t="s">
        <v>676</v>
      </c>
      <c r="N326" s="32" t="s">
        <v>782</v>
      </c>
      <c r="O326" s="65"/>
      <c r="P326" s="65"/>
      <c r="Q326" s="65"/>
    </row>
    <row r="327" spans="1:17" ht="99.75" x14ac:dyDescent="0.75">
      <c r="A327" s="61" t="s">
        <v>1370</v>
      </c>
      <c r="B327" s="32" t="s">
        <v>1371</v>
      </c>
      <c r="C327" s="32" t="s">
        <v>1334</v>
      </c>
      <c r="D327" s="32" t="s">
        <v>1106</v>
      </c>
      <c r="E327" s="32" t="s">
        <v>58</v>
      </c>
      <c r="F327" s="32">
        <v>2.2000000000000002</v>
      </c>
      <c r="G327" s="64" t="s">
        <v>511</v>
      </c>
      <c r="H327" s="62" t="s">
        <v>516</v>
      </c>
      <c r="I327" s="62" t="s">
        <v>517</v>
      </c>
      <c r="J327" s="32">
        <v>6.1</v>
      </c>
      <c r="K327" s="63" t="s">
        <v>66</v>
      </c>
      <c r="L327" s="62" t="s">
        <v>600</v>
      </c>
      <c r="M327" s="62" t="s">
        <v>659</v>
      </c>
      <c r="N327" s="32" t="s">
        <v>782</v>
      </c>
      <c r="O327" s="65"/>
      <c r="P327" s="65"/>
      <c r="Q327" s="65"/>
    </row>
    <row r="328" spans="1:17" ht="99.75" x14ac:dyDescent="0.75">
      <c r="A328" s="61" t="s">
        <v>1372</v>
      </c>
      <c r="B328" s="32" t="s">
        <v>1373</v>
      </c>
      <c r="C328" s="32" t="s">
        <v>1321</v>
      </c>
      <c r="D328" s="32" t="s">
        <v>1106</v>
      </c>
      <c r="E328" s="32" t="s">
        <v>59</v>
      </c>
      <c r="F328" s="32">
        <v>2.2000000000000002</v>
      </c>
      <c r="G328" s="64" t="s">
        <v>511</v>
      </c>
      <c r="H328" s="62" t="s">
        <v>522</v>
      </c>
      <c r="I328" s="62" t="s">
        <v>523</v>
      </c>
      <c r="J328" s="32">
        <v>2.1</v>
      </c>
      <c r="K328" s="63" t="s">
        <v>658</v>
      </c>
      <c r="L328" s="64" t="s">
        <v>493</v>
      </c>
      <c r="M328" s="64" t="s">
        <v>659</v>
      </c>
      <c r="N328" s="32" t="s">
        <v>782</v>
      </c>
      <c r="O328" s="65"/>
      <c r="P328" s="65"/>
      <c r="Q328" s="65"/>
    </row>
    <row r="329" spans="1:17" ht="57" x14ac:dyDescent="0.75">
      <c r="A329" s="61" t="s">
        <v>1374</v>
      </c>
      <c r="B329" s="32" t="s">
        <v>1375</v>
      </c>
      <c r="C329" s="32" t="s">
        <v>1324</v>
      </c>
      <c r="D329" s="32" t="s">
        <v>1106</v>
      </c>
      <c r="E329" s="32" t="s">
        <v>59</v>
      </c>
      <c r="F329" s="32">
        <v>2.2000000000000002</v>
      </c>
      <c r="G329" s="64" t="s">
        <v>511</v>
      </c>
      <c r="H329" s="62" t="s">
        <v>522</v>
      </c>
      <c r="I329" s="62" t="s">
        <v>523</v>
      </c>
      <c r="J329" s="32">
        <v>3.1</v>
      </c>
      <c r="K329" s="63" t="s">
        <v>664</v>
      </c>
      <c r="L329" s="64" t="s">
        <v>552</v>
      </c>
      <c r="M329" s="64" t="s">
        <v>659</v>
      </c>
      <c r="N329" s="32" t="s">
        <v>782</v>
      </c>
      <c r="O329" s="65"/>
      <c r="P329" s="65"/>
      <c r="Q329" s="65"/>
    </row>
    <row r="330" spans="1:17" ht="57" x14ac:dyDescent="0.75">
      <c r="A330" s="61" t="s">
        <v>1376</v>
      </c>
      <c r="B330" s="32" t="s">
        <v>1377</v>
      </c>
      <c r="C330" s="32" t="s">
        <v>1324</v>
      </c>
      <c r="D330" s="32" t="s">
        <v>1106</v>
      </c>
      <c r="E330" s="32" t="s">
        <v>58</v>
      </c>
      <c r="F330" s="32">
        <v>2.2000000000000002</v>
      </c>
      <c r="G330" s="64" t="s">
        <v>511</v>
      </c>
      <c r="H330" s="62" t="s">
        <v>522</v>
      </c>
      <c r="I330" s="62" t="s">
        <v>523</v>
      </c>
      <c r="J330" s="32">
        <v>5.0999999999999996</v>
      </c>
      <c r="K330" s="63" t="s">
        <v>65</v>
      </c>
      <c r="L330" s="62" t="s">
        <v>1117</v>
      </c>
      <c r="M330" s="64" t="s">
        <v>659</v>
      </c>
      <c r="N330" s="32" t="s">
        <v>782</v>
      </c>
      <c r="O330" s="65"/>
      <c r="P330" s="65"/>
      <c r="Q330" s="65"/>
    </row>
    <row r="331" spans="1:17" ht="57" x14ac:dyDescent="0.75">
      <c r="A331" s="61" t="s">
        <v>1378</v>
      </c>
      <c r="B331" s="32" t="s">
        <v>1379</v>
      </c>
      <c r="C331" s="32" t="s">
        <v>1324</v>
      </c>
      <c r="D331" s="32" t="s">
        <v>1106</v>
      </c>
      <c r="E331" s="32" t="s">
        <v>58</v>
      </c>
      <c r="F331" s="32">
        <v>2.2000000000000002</v>
      </c>
      <c r="G331" s="64" t="s">
        <v>511</v>
      </c>
      <c r="H331" s="62" t="s">
        <v>522</v>
      </c>
      <c r="I331" s="62" t="s">
        <v>523</v>
      </c>
      <c r="J331" s="32">
        <v>5.0999999999999996</v>
      </c>
      <c r="K331" s="66" t="s">
        <v>65</v>
      </c>
      <c r="L331" s="62" t="s">
        <v>1120</v>
      </c>
      <c r="M331" s="62" t="s">
        <v>659</v>
      </c>
      <c r="N331" s="32" t="s">
        <v>782</v>
      </c>
      <c r="O331" s="65"/>
      <c r="P331" s="65"/>
      <c r="Q331" s="65"/>
    </row>
    <row r="332" spans="1:17" ht="142.5" x14ac:dyDescent="0.75">
      <c r="A332" s="61" t="s">
        <v>1380</v>
      </c>
      <c r="B332" s="32" t="s">
        <v>1381</v>
      </c>
      <c r="C332" s="32" t="s">
        <v>1349</v>
      </c>
      <c r="D332" s="32" t="s">
        <v>1106</v>
      </c>
      <c r="E332" s="32" t="s">
        <v>59</v>
      </c>
      <c r="F332" s="32">
        <v>2.2000000000000002</v>
      </c>
      <c r="G332" s="64" t="s">
        <v>511</v>
      </c>
      <c r="H332" s="62" t="s">
        <v>522</v>
      </c>
      <c r="I332" s="62" t="s">
        <v>523</v>
      </c>
      <c r="J332" s="32">
        <v>2.1</v>
      </c>
      <c r="K332" s="63" t="s">
        <v>658</v>
      </c>
      <c r="L332" s="64" t="s">
        <v>493</v>
      </c>
      <c r="M332" s="64" t="s">
        <v>659</v>
      </c>
      <c r="N332" s="32" t="s">
        <v>782</v>
      </c>
      <c r="O332" s="65"/>
      <c r="P332" s="65"/>
      <c r="Q332" s="65"/>
    </row>
    <row r="333" spans="1:17" ht="99.75" x14ac:dyDescent="0.75">
      <c r="A333" s="61" t="s">
        <v>1382</v>
      </c>
      <c r="B333" s="32" t="s">
        <v>1383</v>
      </c>
      <c r="C333" s="32" t="s">
        <v>1334</v>
      </c>
      <c r="D333" s="32" t="s">
        <v>1106</v>
      </c>
      <c r="E333" s="32" t="s">
        <v>59</v>
      </c>
      <c r="F333" s="32">
        <v>2.2000000000000002</v>
      </c>
      <c r="G333" s="64" t="s">
        <v>511</v>
      </c>
      <c r="H333" s="62" t="s">
        <v>522</v>
      </c>
      <c r="I333" s="62" t="s">
        <v>523</v>
      </c>
      <c r="J333" s="32">
        <v>3.1</v>
      </c>
      <c r="K333" s="63" t="s">
        <v>664</v>
      </c>
      <c r="L333" s="64" t="s">
        <v>552</v>
      </c>
      <c r="M333" s="64" t="s">
        <v>659</v>
      </c>
      <c r="N333" s="32" t="s">
        <v>782</v>
      </c>
      <c r="O333" s="65"/>
      <c r="P333" s="65"/>
      <c r="Q333" s="65"/>
    </row>
    <row r="334" spans="1:17" ht="99.75" x14ac:dyDescent="0.75">
      <c r="A334" s="61" t="s">
        <v>1384</v>
      </c>
      <c r="B334" s="32" t="s">
        <v>1385</v>
      </c>
      <c r="C334" s="32" t="s">
        <v>1334</v>
      </c>
      <c r="D334" s="32" t="s">
        <v>1106</v>
      </c>
      <c r="E334" s="32" t="s">
        <v>58</v>
      </c>
      <c r="F334" s="32">
        <v>2.2000000000000002</v>
      </c>
      <c r="G334" s="64" t="s">
        <v>511</v>
      </c>
      <c r="H334" s="62" t="s">
        <v>522</v>
      </c>
      <c r="I334" s="62" t="s">
        <v>523</v>
      </c>
      <c r="J334" s="32">
        <v>6.1</v>
      </c>
      <c r="K334" s="63" t="s">
        <v>66</v>
      </c>
      <c r="L334" s="62" t="s">
        <v>597</v>
      </c>
      <c r="M334" s="64" t="s">
        <v>676</v>
      </c>
      <c r="N334" s="32" t="s">
        <v>782</v>
      </c>
      <c r="O334" s="65"/>
      <c r="P334" s="65"/>
      <c r="Q334" s="65"/>
    </row>
    <row r="335" spans="1:17" ht="99.75" x14ac:dyDescent="0.75">
      <c r="A335" s="61" t="s">
        <v>1386</v>
      </c>
      <c r="B335" s="32" t="s">
        <v>1387</v>
      </c>
      <c r="C335" s="32" t="s">
        <v>1334</v>
      </c>
      <c r="D335" s="32" t="s">
        <v>1106</v>
      </c>
      <c r="E335" s="32" t="s">
        <v>58</v>
      </c>
      <c r="F335" s="32">
        <v>2.2000000000000002</v>
      </c>
      <c r="G335" s="64" t="s">
        <v>511</v>
      </c>
      <c r="H335" s="62" t="s">
        <v>522</v>
      </c>
      <c r="I335" s="62" t="s">
        <v>523</v>
      </c>
      <c r="J335" s="32">
        <v>6.1</v>
      </c>
      <c r="K335" s="63" t="s">
        <v>66</v>
      </c>
      <c r="L335" s="62" t="s">
        <v>600</v>
      </c>
      <c r="M335" s="62" t="s">
        <v>659</v>
      </c>
      <c r="N335" s="32" t="s">
        <v>782</v>
      </c>
      <c r="O335" s="65"/>
      <c r="P335" s="65"/>
      <c r="Q335" s="65"/>
    </row>
    <row r="336" spans="1:17" ht="142.5" x14ac:dyDescent="0.75">
      <c r="A336" s="61" t="s">
        <v>1388</v>
      </c>
      <c r="B336" s="32" t="s">
        <v>1389</v>
      </c>
      <c r="C336" s="32" t="s">
        <v>1349</v>
      </c>
      <c r="D336" s="32" t="s">
        <v>1106</v>
      </c>
      <c r="E336" s="32" t="s">
        <v>59</v>
      </c>
      <c r="F336" s="32">
        <v>2.2000000000000002</v>
      </c>
      <c r="G336" s="64" t="s">
        <v>511</v>
      </c>
      <c r="H336" s="62" t="s">
        <v>516</v>
      </c>
      <c r="I336" s="62" t="s">
        <v>517</v>
      </c>
      <c r="J336" s="32">
        <v>2.1</v>
      </c>
      <c r="K336" s="63" t="s">
        <v>658</v>
      </c>
      <c r="L336" s="64" t="s">
        <v>493</v>
      </c>
      <c r="M336" s="64" t="s">
        <v>659</v>
      </c>
      <c r="N336" s="32" t="s">
        <v>782</v>
      </c>
      <c r="O336" s="65"/>
      <c r="P336" s="65"/>
      <c r="Q336" s="65"/>
    </row>
    <row r="337" spans="1:17" ht="99.75" x14ac:dyDescent="0.75">
      <c r="A337" s="61" t="s">
        <v>1390</v>
      </c>
      <c r="B337" s="32" t="s">
        <v>1391</v>
      </c>
      <c r="C337" s="32" t="s">
        <v>1334</v>
      </c>
      <c r="D337" s="32" t="s">
        <v>1106</v>
      </c>
      <c r="E337" s="32" t="s">
        <v>59</v>
      </c>
      <c r="F337" s="32">
        <v>2.2000000000000002</v>
      </c>
      <c r="G337" s="64" t="s">
        <v>511</v>
      </c>
      <c r="H337" s="62" t="s">
        <v>516</v>
      </c>
      <c r="I337" s="62" t="s">
        <v>517</v>
      </c>
      <c r="J337" s="32">
        <v>3.1</v>
      </c>
      <c r="K337" s="63" t="s">
        <v>664</v>
      </c>
      <c r="L337" s="64" t="s">
        <v>552</v>
      </c>
      <c r="M337" s="64" t="s">
        <v>659</v>
      </c>
      <c r="N337" s="32" t="s">
        <v>782</v>
      </c>
      <c r="O337" s="65"/>
      <c r="P337" s="65"/>
      <c r="Q337" s="65"/>
    </row>
    <row r="338" spans="1:17" ht="99.75" x14ac:dyDescent="0.75">
      <c r="A338" s="61" t="s">
        <v>1392</v>
      </c>
      <c r="B338" s="32" t="s">
        <v>1393</v>
      </c>
      <c r="C338" s="32" t="s">
        <v>1334</v>
      </c>
      <c r="D338" s="32" t="s">
        <v>1106</v>
      </c>
      <c r="E338" s="32" t="s">
        <v>58</v>
      </c>
      <c r="F338" s="32">
        <v>2.2000000000000002</v>
      </c>
      <c r="G338" s="64" t="s">
        <v>511</v>
      </c>
      <c r="H338" s="62" t="s">
        <v>516</v>
      </c>
      <c r="I338" s="62" t="s">
        <v>517</v>
      </c>
      <c r="J338" s="32">
        <v>5.0999999999999996</v>
      </c>
      <c r="K338" s="66" t="s">
        <v>65</v>
      </c>
      <c r="L338" s="62" t="s">
        <v>1117</v>
      </c>
      <c r="M338" s="64" t="s">
        <v>659</v>
      </c>
      <c r="N338" s="32" t="s">
        <v>782</v>
      </c>
      <c r="O338" s="65"/>
      <c r="P338" s="65"/>
      <c r="Q338" s="65"/>
    </row>
    <row r="339" spans="1:17" ht="99.75" x14ac:dyDescent="0.75">
      <c r="A339" s="61" t="s">
        <v>1394</v>
      </c>
      <c r="B339" s="32" t="s">
        <v>1395</v>
      </c>
      <c r="C339" s="32" t="s">
        <v>1334</v>
      </c>
      <c r="D339" s="32" t="s">
        <v>1106</v>
      </c>
      <c r="E339" s="32" t="s">
        <v>58</v>
      </c>
      <c r="F339" s="32">
        <v>2.2000000000000002</v>
      </c>
      <c r="G339" s="64" t="s">
        <v>511</v>
      </c>
      <c r="H339" s="62" t="s">
        <v>516</v>
      </c>
      <c r="I339" s="62" t="s">
        <v>517</v>
      </c>
      <c r="J339" s="32">
        <v>5.0999999999999996</v>
      </c>
      <c r="K339" s="66" t="s">
        <v>65</v>
      </c>
      <c r="L339" s="62" t="s">
        <v>1120</v>
      </c>
      <c r="M339" s="62" t="s">
        <v>659</v>
      </c>
      <c r="N339" s="32" t="s">
        <v>782</v>
      </c>
      <c r="O339" s="65"/>
      <c r="P339" s="65"/>
      <c r="Q339" s="65"/>
    </row>
    <row r="340" spans="1:17" ht="142.5" x14ac:dyDescent="0.75">
      <c r="A340" s="61" t="s">
        <v>1396</v>
      </c>
      <c r="B340" s="32" t="s">
        <v>1397</v>
      </c>
      <c r="C340" s="32" t="s">
        <v>1349</v>
      </c>
      <c r="D340" s="32" t="s">
        <v>1106</v>
      </c>
      <c r="E340" s="32" t="s">
        <v>59</v>
      </c>
      <c r="F340" s="32">
        <v>2.2000000000000002</v>
      </c>
      <c r="G340" s="64" t="s">
        <v>511</v>
      </c>
      <c r="H340" s="62" t="s">
        <v>516</v>
      </c>
      <c r="I340" s="62" t="s">
        <v>517</v>
      </c>
      <c r="J340" s="32">
        <v>2.1</v>
      </c>
      <c r="K340" s="63" t="s">
        <v>658</v>
      </c>
      <c r="L340" s="64" t="s">
        <v>493</v>
      </c>
      <c r="M340" s="64" t="s">
        <v>659</v>
      </c>
      <c r="N340" s="32" t="s">
        <v>782</v>
      </c>
      <c r="O340" s="65"/>
      <c r="P340" s="65"/>
      <c r="Q340" s="65"/>
    </row>
    <row r="341" spans="1:17" ht="99.75" x14ac:dyDescent="0.75">
      <c r="A341" s="61" t="s">
        <v>1398</v>
      </c>
      <c r="B341" s="32" t="s">
        <v>1399</v>
      </c>
      <c r="C341" s="32" t="s">
        <v>1334</v>
      </c>
      <c r="D341" s="32" t="s">
        <v>1106</v>
      </c>
      <c r="E341" s="32" t="s">
        <v>59</v>
      </c>
      <c r="F341" s="32">
        <v>2.2000000000000002</v>
      </c>
      <c r="G341" s="64" t="s">
        <v>511</v>
      </c>
      <c r="H341" s="62" t="s">
        <v>516</v>
      </c>
      <c r="I341" s="62" t="s">
        <v>517</v>
      </c>
      <c r="J341" s="32">
        <v>3.1</v>
      </c>
      <c r="K341" s="63" t="s">
        <v>664</v>
      </c>
      <c r="L341" s="64" t="s">
        <v>552</v>
      </c>
      <c r="M341" s="64" t="s">
        <v>659</v>
      </c>
      <c r="N341" s="32" t="s">
        <v>782</v>
      </c>
      <c r="O341" s="65"/>
      <c r="P341" s="65"/>
      <c r="Q341" s="65"/>
    </row>
    <row r="342" spans="1:17" ht="99.75" x14ac:dyDescent="0.75">
      <c r="A342" s="61" t="s">
        <v>1400</v>
      </c>
      <c r="B342" s="32" t="s">
        <v>1401</v>
      </c>
      <c r="C342" s="32" t="s">
        <v>1334</v>
      </c>
      <c r="D342" s="32" t="s">
        <v>1106</v>
      </c>
      <c r="E342" s="32" t="s">
        <v>58</v>
      </c>
      <c r="F342" s="32">
        <v>2.2000000000000002</v>
      </c>
      <c r="G342" s="64" t="s">
        <v>511</v>
      </c>
      <c r="H342" s="62" t="s">
        <v>516</v>
      </c>
      <c r="I342" s="62" t="s">
        <v>517</v>
      </c>
      <c r="J342" s="32">
        <v>6.1</v>
      </c>
      <c r="K342" s="63" t="s">
        <v>66</v>
      </c>
      <c r="L342" s="62" t="s">
        <v>597</v>
      </c>
      <c r="M342" s="64" t="s">
        <v>676</v>
      </c>
      <c r="N342" s="32" t="s">
        <v>782</v>
      </c>
      <c r="O342" s="65"/>
      <c r="P342" s="65"/>
      <c r="Q342" s="65"/>
    </row>
    <row r="343" spans="1:17" ht="99.75" x14ac:dyDescent="0.75">
      <c r="A343" s="61" t="s">
        <v>1402</v>
      </c>
      <c r="B343" s="32" t="s">
        <v>1403</v>
      </c>
      <c r="C343" s="32" t="s">
        <v>1334</v>
      </c>
      <c r="D343" s="32" t="s">
        <v>1106</v>
      </c>
      <c r="E343" s="32" t="s">
        <v>58</v>
      </c>
      <c r="F343" s="32">
        <v>2.2000000000000002</v>
      </c>
      <c r="G343" s="64" t="s">
        <v>511</v>
      </c>
      <c r="H343" s="62" t="s">
        <v>516</v>
      </c>
      <c r="I343" s="62" t="s">
        <v>517</v>
      </c>
      <c r="J343" s="32">
        <v>6.1</v>
      </c>
      <c r="K343" s="63" t="s">
        <v>66</v>
      </c>
      <c r="L343" s="62" t="s">
        <v>600</v>
      </c>
      <c r="M343" s="62" t="s">
        <v>659</v>
      </c>
      <c r="N343" s="32" t="s">
        <v>782</v>
      </c>
      <c r="O343" s="65"/>
      <c r="P343" s="65"/>
      <c r="Q343" s="65"/>
    </row>
    <row r="344" spans="1:17" ht="142.5" x14ac:dyDescent="0.75">
      <c r="A344" s="61" t="s">
        <v>1404</v>
      </c>
      <c r="B344" s="32" t="s">
        <v>1405</v>
      </c>
      <c r="C344" s="32" t="s">
        <v>1349</v>
      </c>
      <c r="D344" s="32" t="s">
        <v>1106</v>
      </c>
      <c r="E344" s="32" t="s">
        <v>59</v>
      </c>
      <c r="F344" s="32">
        <v>2.2000000000000002</v>
      </c>
      <c r="G344" s="64" t="s">
        <v>511</v>
      </c>
      <c r="H344" s="62" t="s">
        <v>516</v>
      </c>
      <c r="I344" s="62" t="s">
        <v>517</v>
      </c>
      <c r="J344" s="32">
        <v>2.1</v>
      </c>
      <c r="K344" s="63" t="s">
        <v>658</v>
      </c>
      <c r="L344" s="64" t="s">
        <v>493</v>
      </c>
      <c r="M344" s="64" t="s">
        <v>659</v>
      </c>
      <c r="N344" s="32" t="s">
        <v>782</v>
      </c>
      <c r="O344" s="65"/>
      <c r="P344" s="65"/>
      <c r="Q344" s="65"/>
    </row>
    <row r="345" spans="1:17" ht="99.75" x14ac:dyDescent="0.75">
      <c r="A345" s="61" t="s">
        <v>1406</v>
      </c>
      <c r="B345" s="32" t="s">
        <v>1407</v>
      </c>
      <c r="C345" s="32" t="s">
        <v>1334</v>
      </c>
      <c r="D345" s="32" t="s">
        <v>1106</v>
      </c>
      <c r="E345" s="32" t="s">
        <v>59</v>
      </c>
      <c r="F345" s="32">
        <v>2.2000000000000002</v>
      </c>
      <c r="G345" s="64" t="s">
        <v>511</v>
      </c>
      <c r="H345" s="62" t="s">
        <v>516</v>
      </c>
      <c r="I345" s="62" t="s">
        <v>517</v>
      </c>
      <c r="J345" s="32">
        <v>3.1</v>
      </c>
      <c r="K345" s="63" t="s">
        <v>664</v>
      </c>
      <c r="L345" s="64" t="s">
        <v>552</v>
      </c>
      <c r="M345" s="64" t="s">
        <v>659</v>
      </c>
      <c r="N345" s="32" t="s">
        <v>782</v>
      </c>
      <c r="O345" s="65"/>
      <c r="P345" s="65"/>
      <c r="Q345" s="65"/>
    </row>
    <row r="346" spans="1:17" ht="99.75" x14ac:dyDescent="0.75">
      <c r="A346" s="61" t="s">
        <v>1408</v>
      </c>
      <c r="B346" s="32" t="s">
        <v>1409</v>
      </c>
      <c r="C346" s="32" t="s">
        <v>1334</v>
      </c>
      <c r="D346" s="32" t="s">
        <v>1106</v>
      </c>
      <c r="E346" s="32" t="s">
        <v>58</v>
      </c>
      <c r="F346" s="32">
        <v>2.2000000000000002</v>
      </c>
      <c r="G346" s="64" t="s">
        <v>511</v>
      </c>
      <c r="H346" s="62" t="s">
        <v>516</v>
      </c>
      <c r="I346" s="62" t="s">
        <v>517</v>
      </c>
      <c r="J346" s="32">
        <v>5.0999999999999996</v>
      </c>
      <c r="K346" s="66" t="s">
        <v>65</v>
      </c>
      <c r="L346" s="62" t="s">
        <v>1117</v>
      </c>
      <c r="M346" s="64" t="s">
        <v>659</v>
      </c>
      <c r="N346" s="32" t="s">
        <v>782</v>
      </c>
      <c r="O346" s="65"/>
      <c r="P346" s="65"/>
      <c r="Q346" s="65"/>
    </row>
    <row r="347" spans="1:17" ht="99.75" x14ac:dyDescent="0.75">
      <c r="A347" s="61" t="s">
        <v>1410</v>
      </c>
      <c r="B347" s="32" t="s">
        <v>1411</v>
      </c>
      <c r="C347" s="32" t="s">
        <v>1334</v>
      </c>
      <c r="D347" s="32" t="s">
        <v>1106</v>
      </c>
      <c r="E347" s="32" t="s">
        <v>58</v>
      </c>
      <c r="F347" s="32">
        <v>2.2000000000000002</v>
      </c>
      <c r="G347" s="64" t="s">
        <v>511</v>
      </c>
      <c r="H347" s="62" t="s">
        <v>516</v>
      </c>
      <c r="I347" s="62" t="s">
        <v>517</v>
      </c>
      <c r="J347" s="32">
        <v>5.0999999999999996</v>
      </c>
      <c r="K347" s="66" t="s">
        <v>65</v>
      </c>
      <c r="L347" s="62" t="s">
        <v>1120</v>
      </c>
      <c r="M347" s="62" t="s">
        <v>659</v>
      </c>
      <c r="N347" s="32" t="s">
        <v>782</v>
      </c>
      <c r="O347" s="65"/>
      <c r="P347" s="65"/>
      <c r="Q347" s="65"/>
    </row>
    <row r="348" spans="1:17" ht="142.5" x14ac:dyDescent="0.75">
      <c r="A348" s="61" t="s">
        <v>1412</v>
      </c>
      <c r="B348" s="32" t="s">
        <v>1413</v>
      </c>
      <c r="C348" s="32" t="s">
        <v>1349</v>
      </c>
      <c r="D348" s="32" t="s">
        <v>1106</v>
      </c>
      <c r="E348" s="32" t="s">
        <v>59</v>
      </c>
      <c r="F348" s="32">
        <v>2.2000000000000002</v>
      </c>
      <c r="G348" s="64" t="s">
        <v>511</v>
      </c>
      <c r="H348" s="62" t="s">
        <v>516</v>
      </c>
      <c r="I348" s="62" t="s">
        <v>517</v>
      </c>
      <c r="J348" s="32">
        <v>2.1</v>
      </c>
      <c r="K348" s="63" t="s">
        <v>658</v>
      </c>
      <c r="L348" s="64" t="s">
        <v>493</v>
      </c>
      <c r="M348" s="64" t="s">
        <v>659</v>
      </c>
      <c r="N348" s="32" t="s">
        <v>782</v>
      </c>
      <c r="O348" s="65"/>
      <c r="P348" s="65"/>
      <c r="Q348" s="65"/>
    </row>
    <row r="349" spans="1:17" ht="99.75" x14ac:dyDescent="0.75">
      <c r="A349" s="61" t="s">
        <v>1414</v>
      </c>
      <c r="B349" s="32" t="s">
        <v>1415</v>
      </c>
      <c r="C349" s="32" t="s">
        <v>1334</v>
      </c>
      <c r="D349" s="32" t="s">
        <v>1106</v>
      </c>
      <c r="E349" s="32" t="s">
        <v>59</v>
      </c>
      <c r="F349" s="32">
        <v>2.2000000000000002</v>
      </c>
      <c r="G349" s="64" t="s">
        <v>511</v>
      </c>
      <c r="H349" s="62" t="s">
        <v>516</v>
      </c>
      <c r="I349" s="62" t="s">
        <v>517</v>
      </c>
      <c r="J349" s="32">
        <v>3.1</v>
      </c>
      <c r="K349" s="63" t="s">
        <v>664</v>
      </c>
      <c r="L349" s="64" t="s">
        <v>552</v>
      </c>
      <c r="M349" s="64" t="s">
        <v>659</v>
      </c>
      <c r="N349" s="32" t="s">
        <v>782</v>
      </c>
      <c r="O349" s="65"/>
      <c r="P349" s="65"/>
      <c r="Q349" s="65"/>
    </row>
    <row r="350" spans="1:17" ht="99.75" x14ac:dyDescent="0.75">
      <c r="A350" s="61" t="s">
        <v>1416</v>
      </c>
      <c r="B350" s="32" t="s">
        <v>1417</v>
      </c>
      <c r="C350" s="32" t="s">
        <v>1334</v>
      </c>
      <c r="D350" s="32" t="s">
        <v>1106</v>
      </c>
      <c r="E350" s="32" t="s">
        <v>58</v>
      </c>
      <c r="F350" s="32">
        <v>2.2000000000000002</v>
      </c>
      <c r="G350" s="64" t="s">
        <v>511</v>
      </c>
      <c r="H350" s="62" t="s">
        <v>516</v>
      </c>
      <c r="I350" s="62" t="s">
        <v>517</v>
      </c>
      <c r="J350" s="32">
        <v>6.1</v>
      </c>
      <c r="K350" s="63" t="s">
        <v>66</v>
      </c>
      <c r="L350" s="62" t="s">
        <v>597</v>
      </c>
      <c r="M350" s="64" t="s">
        <v>676</v>
      </c>
      <c r="N350" s="32" t="s">
        <v>782</v>
      </c>
      <c r="O350" s="65"/>
      <c r="P350" s="65"/>
      <c r="Q350" s="65"/>
    </row>
    <row r="351" spans="1:17" ht="99.75" x14ac:dyDescent="0.75">
      <c r="A351" s="61" t="s">
        <v>1418</v>
      </c>
      <c r="B351" s="32" t="s">
        <v>1419</v>
      </c>
      <c r="C351" s="32" t="s">
        <v>1334</v>
      </c>
      <c r="D351" s="32" t="s">
        <v>1106</v>
      </c>
      <c r="E351" s="32" t="s">
        <v>58</v>
      </c>
      <c r="F351" s="32">
        <v>2.2000000000000002</v>
      </c>
      <c r="G351" s="64" t="s">
        <v>511</v>
      </c>
      <c r="H351" s="62" t="s">
        <v>516</v>
      </c>
      <c r="I351" s="62" t="s">
        <v>517</v>
      </c>
      <c r="J351" s="32">
        <v>6.1</v>
      </c>
      <c r="K351" s="63" t="s">
        <v>66</v>
      </c>
      <c r="L351" s="62" t="s">
        <v>600</v>
      </c>
      <c r="M351" s="62" t="s">
        <v>659</v>
      </c>
      <c r="N351" s="32" t="s">
        <v>782</v>
      </c>
      <c r="O351" s="65"/>
      <c r="P351" s="65"/>
      <c r="Q351" s="65"/>
    </row>
    <row r="352" spans="1:17" ht="99.75" x14ac:dyDescent="0.75">
      <c r="A352" s="61" t="s">
        <v>1420</v>
      </c>
      <c r="B352" s="32" t="s">
        <v>1421</v>
      </c>
      <c r="C352" s="32" t="s">
        <v>1334</v>
      </c>
      <c r="D352" s="32" t="s">
        <v>1106</v>
      </c>
      <c r="E352" s="32" t="s">
        <v>58</v>
      </c>
      <c r="F352" s="32">
        <v>2.2000000000000002</v>
      </c>
      <c r="G352" s="64" t="s">
        <v>511</v>
      </c>
      <c r="H352" s="62" t="s">
        <v>516</v>
      </c>
      <c r="I352" s="62" t="s">
        <v>517</v>
      </c>
      <c r="J352" s="32">
        <v>5.0999999999999996</v>
      </c>
      <c r="K352" s="66" t="s">
        <v>65</v>
      </c>
      <c r="L352" s="62" t="s">
        <v>1117</v>
      </c>
      <c r="M352" s="62" t="s">
        <v>659</v>
      </c>
      <c r="N352" s="32" t="s">
        <v>782</v>
      </c>
      <c r="O352" s="65"/>
      <c r="P352" s="65"/>
      <c r="Q352" s="65"/>
    </row>
    <row r="353" spans="1:20" ht="99.75" x14ac:dyDescent="0.75">
      <c r="A353" s="61" t="s">
        <v>1422</v>
      </c>
      <c r="B353" s="32" t="s">
        <v>1423</v>
      </c>
      <c r="C353" s="32" t="s">
        <v>1334</v>
      </c>
      <c r="D353" s="32" t="s">
        <v>1106</v>
      </c>
      <c r="E353" s="32" t="s">
        <v>58</v>
      </c>
      <c r="F353" s="32">
        <v>2.2000000000000002</v>
      </c>
      <c r="G353" s="64" t="s">
        <v>511</v>
      </c>
      <c r="H353" s="62" t="s">
        <v>516</v>
      </c>
      <c r="I353" s="62" t="s">
        <v>517</v>
      </c>
      <c r="J353" s="32">
        <v>5.0999999999999996</v>
      </c>
      <c r="K353" s="66" t="s">
        <v>65</v>
      </c>
      <c r="L353" s="62" t="s">
        <v>1117</v>
      </c>
      <c r="M353" s="64" t="s">
        <v>659</v>
      </c>
      <c r="N353" s="32" t="s">
        <v>782</v>
      </c>
      <c r="O353" s="65"/>
      <c r="P353" s="65"/>
      <c r="Q353" s="65"/>
    </row>
    <row r="354" spans="1:20" ht="99.75" x14ac:dyDescent="0.75">
      <c r="A354" s="61" t="s">
        <v>1424</v>
      </c>
      <c r="B354" s="32" t="s">
        <v>1425</v>
      </c>
      <c r="C354" s="32" t="s">
        <v>1334</v>
      </c>
      <c r="D354" s="32" t="s">
        <v>1106</v>
      </c>
      <c r="E354" s="32" t="s">
        <v>58</v>
      </c>
      <c r="F354" s="32">
        <v>2.2000000000000002</v>
      </c>
      <c r="G354" s="64" t="s">
        <v>511</v>
      </c>
      <c r="H354" s="62" t="s">
        <v>516</v>
      </c>
      <c r="I354" s="62" t="s">
        <v>517</v>
      </c>
      <c r="J354" s="32">
        <v>5.0999999999999996</v>
      </c>
      <c r="K354" s="66" t="s">
        <v>65</v>
      </c>
      <c r="L354" s="62" t="s">
        <v>1117</v>
      </c>
      <c r="M354" s="62" t="s">
        <v>659</v>
      </c>
      <c r="N354" s="32" t="s">
        <v>782</v>
      </c>
      <c r="O354" s="65"/>
      <c r="P354" s="65"/>
      <c r="Q354" s="65"/>
    </row>
    <row r="355" spans="1:20" ht="99.75" x14ac:dyDescent="0.75">
      <c r="A355" s="61" t="s">
        <v>1426</v>
      </c>
      <c r="B355" s="32" t="s">
        <v>1427</v>
      </c>
      <c r="C355" s="32" t="s">
        <v>1334</v>
      </c>
      <c r="D355" s="32" t="s">
        <v>1106</v>
      </c>
      <c r="E355" s="32" t="s">
        <v>58</v>
      </c>
      <c r="F355" s="32">
        <v>2.2000000000000002</v>
      </c>
      <c r="G355" s="64" t="s">
        <v>511</v>
      </c>
      <c r="H355" s="62" t="s">
        <v>516</v>
      </c>
      <c r="I355" s="62" t="s">
        <v>517</v>
      </c>
      <c r="J355" s="32">
        <v>5.0999999999999996</v>
      </c>
      <c r="K355" s="66" t="s">
        <v>65</v>
      </c>
      <c r="L355" s="62" t="s">
        <v>1120</v>
      </c>
      <c r="M355" s="62" t="s">
        <v>659</v>
      </c>
      <c r="N355" s="32" t="s">
        <v>782</v>
      </c>
      <c r="O355" s="65"/>
      <c r="P355" s="65"/>
      <c r="Q355" s="65"/>
    </row>
    <row r="356" spans="1:20" ht="28.5" x14ac:dyDescent="0.75">
      <c r="A356" s="61" t="s">
        <v>1428</v>
      </c>
      <c r="B356" s="32" t="s">
        <v>1429</v>
      </c>
      <c r="C356" s="32" t="s">
        <v>663</v>
      </c>
      <c r="D356" s="32" t="s">
        <v>1106</v>
      </c>
      <c r="E356" s="32" t="s">
        <v>58</v>
      </c>
      <c r="F356" s="32">
        <v>1.1000000000000001</v>
      </c>
      <c r="G356" s="62" t="s">
        <v>466</v>
      </c>
      <c r="H356" s="64" t="s">
        <v>468</v>
      </c>
      <c r="I356" s="62" t="s">
        <v>469</v>
      </c>
      <c r="J356" s="32">
        <v>4.0999999999999996</v>
      </c>
      <c r="K356" s="63" t="s">
        <v>967</v>
      </c>
      <c r="L356" s="64" t="s">
        <v>569</v>
      </c>
      <c r="M356" s="64" t="s">
        <v>659</v>
      </c>
      <c r="N356" s="32" t="s">
        <v>782</v>
      </c>
      <c r="O356" s="65"/>
      <c r="P356" s="65"/>
      <c r="Q356" s="65"/>
    </row>
    <row r="357" spans="1:20" ht="28.5" x14ac:dyDescent="0.75">
      <c r="A357" s="61" t="s">
        <v>1430</v>
      </c>
      <c r="B357" s="32" t="s">
        <v>1431</v>
      </c>
      <c r="C357" s="32" t="s">
        <v>663</v>
      </c>
      <c r="D357" s="32" t="s">
        <v>1106</v>
      </c>
      <c r="E357" s="32" t="s">
        <v>58</v>
      </c>
      <c r="F357" s="32">
        <v>1.1000000000000001</v>
      </c>
      <c r="G357" s="62" t="s">
        <v>466</v>
      </c>
      <c r="H357" s="64" t="s">
        <v>468</v>
      </c>
      <c r="I357" s="62" t="s">
        <v>469</v>
      </c>
      <c r="J357" s="32">
        <v>4.0999999999999996</v>
      </c>
      <c r="K357" s="63" t="s">
        <v>967</v>
      </c>
      <c r="L357" s="64" t="s">
        <v>569</v>
      </c>
      <c r="M357" s="64" t="s">
        <v>659</v>
      </c>
      <c r="N357" s="32" t="s">
        <v>782</v>
      </c>
      <c r="O357" s="65"/>
      <c r="P357" s="65"/>
      <c r="Q357" s="65"/>
    </row>
    <row r="358" spans="1:20" ht="99.75" x14ac:dyDescent="0.75">
      <c r="A358" s="61" t="s">
        <v>1432</v>
      </c>
      <c r="B358" s="32" t="s">
        <v>1433</v>
      </c>
      <c r="C358" s="32" t="s">
        <v>1434</v>
      </c>
      <c r="D358" s="32" t="s">
        <v>1106</v>
      </c>
      <c r="E358" s="32" t="s">
        <v>59</v>
      </c>
      <c r="F358" s="32">
        <v>4.0999999999999996</v>
      </c>
      <c r="G358" s="64" t="s">
        <v>567</v>
      </c>
      <c r="H358" s="64" t="s">
        <v>569</v>
      </c>
      <c r="I358" s="64" t="s">
        <v>570</v>
      </c>
      <c r="J358" s="32">
        <v>2.1</v>
      </c>
      <c r="K358" s="63" t="s">
        <v>658</v>
      </c>
      <c r="L358" s="64" t="s">
        <v>493</v>
      </c>
      <c r="M358" s="64" t="s">
        <v>659</v>
      </c>
      <c r="N358" s="32" t="s">
        <v>782</v>
      </c>
      <c r="O358" s="65"/>
      <c r="P358" s="65"/>
      <c r="Q358" s="65"/>
    </row>
    <row r="359" spans="1:20" ht="57" x14ac:dyDescent="0.75">
      <c r="A359" s="61" t="s">
        <v>1435</v>
      </c>
      <c r="B359" s="32" t="s">
        <v>1436</v>
      </c>
      <c r="C359" s="32" t="s">
        <v>1437</v>
      </c>
      <c r="D359" s="32" t="s">
        <v>1106</v>
      </c>
      <c r="E359" s="32" t="s">
        <v>59</v>
      </c>
      <c r="F359" s="32">
        <v>4.0999999999999996</v>
      </c>
      <c r="G359" s="64" t="s">
        <v>567</v>
      </c>
      <c r="H359" s="64" t="s">
        <v>569</v>
      </c>
      <c r="I359" s="64" t="s">
        <v>570</v>
      </c>
      <c r="J359" s="32">
        <v>3.1</v>
      </c>
      <c r="K359" s="63" t="s">
        <v>664</v>
      </c>
      <c r="L359" s="64" t="s">
        <v>552</v>
      </c>
      <c r="M359" s="64" t="s">
        <v>659</v>
      </c>
      <c r="N359" s="32" t="s">
        <v>782</v>
      </c>
      <c r="O359" s="65"/>
      <c r="P359" s="65"/>
      <c r="Q359" s="65"/>
    </row>
    <row r="360" spans="1:20" ht="57" x14ac:dyDescent="0.75">
      <c r="A360" s="61" t="s">
        <v>1438</v>
      </c>
      <c r="B360" s="32" t="s">
        <v>1439</v>
      </c>
      <c r="C360" s="32" t="s">
        <v>1437</v>
      </c>
      <c r="D360" s="32" t="s">
        <v>1106</v>
      </c>
      <c r="E360" s="32" t="s">
        <v>58</v>
      </c>
      <c r="F360" s="32">
        <v>4.0999999999999996</v>
      </c>
      <c r="G360" s="64" t="s">
        <v>567</v>
      </c>
      <c r="H360" s="64" t="s">
        <v>569</v>
      </c>
      <c r="I360" s="64" t="s">
        <v>570</v>
      </c>
      <c r="J360" s="32">
        <v>5.0999999999999996</v>
      </c>
      <c r="K360" s="63" t="s">
        <v>65</v>
      </c>
      <c r="L360" s="64" t="s">
        <v>1117</v>
      </c>
      <c r="M360" s="64" t="s">
        <v>659</v>
      </c>
      <c r="N360" s="32" t="s">
        <v>782</v>
      </c>
      <c r="O360" s="65"/>
      <c r="P360" s="65"/>
      <c r="Q360" s="65"/>
    </row>
    <row r="361" spans="1:20" s="72" customFormat="1" ht="57" x14ac:dyDescent="0.75">
      <c r="A361" s="61" t="s">
        <v>1440</v>
      </c>
      <c r="B361" s="32" t="s">
        <v>1441</v>
      </c>
      <c r="C361" s="32" t="s">
        <v>1437</v>
      </c>
      <c r="D361" s="32" t="s">
        <v>1106</v>
      </c>
      <c r="E361" s="32" t="s">
        <v>58</v>
      </c>
      <c r="F361" s="32">
        <v>4.0999999999999996</v>
      </c>
      <c r="G361" s="64" t="s">
        <v>567</v>
      </c>
      <c r="H361" s="64" t="s">
        <v>569</v>
      </c>
      <c r="I361" s="64" t="s">
        <v>570</v>
      </c>
      <c r="J361" s="32">
        <v>5.0999999999999996</v>
      </c>
      <c r="K361" s="64" t="s">
        <v>65</v>
      </c>
      <c r="L361" s="64" t="s">
        <v>1120</v>
      </c>
      <c r="M361" s="62" t="s">
        <v>659</v>
      </c>
      <c r="N361" s="32" t="s">
        <v>782</v>
      </c>
      <c r="O361" s="177"/>
      <c r="P361" s="177"/>
      <c r="Q361" s="177"/>
      <c r="R361" s="177"/>
      <c r="S361" s="177"/>
      <c r="T361" s="177"/>
    </row>
    <row r="362" spans="1:20" ht="99.75" x14ac:dyDescent="0.75">
      <c r="A362" s="61" t="s">
        <v>1442</v>
      </c>
      <c r="B362" s="32" t="s">
        <v>1443</v>
      </c>
      <c r="C362" s="32" t="s">
        <v>1434</v>
      </c>
      <c r="D362" s="32" t="s">
        <v>1106</v>
      </c>
      <c r="E362" s="32" t="s">
        <v>59</v>
      </c>
      <c r="F362" s="32">
        <v>4.0999999999999996</v>
      </c>
      <c r="G362" s="64" t="s">
        <v>567</v>
      </c>
      <c r="H362" s="64" t="s">
        <v>569</v>
      </c>
      <c r="I362" s="64" t="s">
        <v>570</v>
      </c>
      <c r="J362" s="32">
        <v>2.1</v>
      </c>
      <c r="K362" s="63" t="s">
        <v>658</v>
      </c>
      <c r="L362" s="64" t="s">
        <v>493</v>
      </c>
      <c r="M362" s="64" t="s">
        <v>659</v>
      </c>
      <c r="N362" s="32" t="s">
        <v>782</v>
      </c>
      <c r="O362" s="65"/>
      <c r="P362" s="65"/>
      <c r="Q362" s="65"/>
      <c r="T362" s="177"/>
    </row>
    <row r="363" spans="1:20" ht="57" x14ac:dyDescent="0.75">
      <c r="A363" s="61" t="s">
        <v>1444</v>
      </c>
      <c r="B363" s="32" t="s">
        <v>1445</v>
      </c>
      <c r="C363" s="32" t="s">
        <v>1437</v>
      </c>
      <c r="D363" s="32" t="s">
        <v>1106</v>
      </c>
      <c r="E363" s="32" t="s">
        <v>59</v>
      </c>
      <c r="F363" s="32">
        <v>4.0999999999999996</v>
      </c>
      <c r="G363" s="64" t="s">
        <v>567</v>
      </c>
      <c r="H363" s="64" t="s">
        <v>569</v>
      </c>
      <c r="I363" s="64" t="s">
        <v>570</v>
      </c>
      <c r="J363" s="32">
        <v>3.1</v>
      </c>
      <c r="K363" s="63" t="s">
        <v>664</v>
      </c>
      <c r="L363" s="64" t="s">
        <v>552</v>
      </c>
      <c r="M363" s="64" t="s">
        <v>659</v>
      </c>
      <c r="N363" s="32" t="s">
        <v>782</v>
      </c>
      <c r="O363" s="65"/>
      <c r="P363" s="65"/>
      <c r="Q363" s="65"/>
      <c r="T363" s="177"/>
    </row>
    <row r="364" spans="1:20" ht="57" x14ac:dyDescent="0.75">
      <c r="A364" s="61" t="s">
        <v>1446</v>
      </c>
      <c r="B364" s="32" t="s">
        <v>1447</v>
      </c>
      <c r="C364" s="32" t="s">
        <v>1437</v>
      </c>
      <c r="D364" s="32" t="s">
        <v>1106</v>
      </c>
      <c r="E364" s="32" t="s">
        <v>58</v>
      </c>
      <c r="F364" s="32">
        <v>4.0999999999999996</v>
      </c>
      <c r="G364" s="64" t="s">
        <v>567</v>
      </c>
      <c r="H364" s="64" t="s">
        <v>569</v>
      </c>
      <c r="I364" s="64" t="s">
        <v>570</v>
      </c>
      <c r="J364" s="32">
        <v>6.1</v>
      </c>
      <c r="K364" s="63" t="s">
        <v>66</v>
      </c>
      <c r="L364" s="62" t="s">
        <v>597</v>
      </c>
      <c r="M364" s="64" t="s">
        <v>676</v>
      </c>
      <c r="N364" s="32" t="s">
        <v>782</v>
      </c>
      <c r="O364" s="65"/>
      <c r="P364" s="65"/>
      <c r="Q364" s="65"/>
    </row>
    <row r="365" spans="1:20" ht="57" x14ac:dyDescent="0.75">
      <c r="A365" s="61" t="s">
        <v>1448</v>
      </c>
      <c r="B365" s="32" t="s">
        <v>1449</v>
      </c>
      <c r="C365" s="32" t="s">
        <v>1437</v>
      </c>
      <c r="D365" s="32" t="s">
        <v>1106</v>
      </c>
      <c r="E365" s="32" t="s">
        <v>58</v>
      </c>
      <c r="F365" s="32">
        <v>4.0999999999999996</v>
      </c>
      <c r="G365" s="64" t="s">
        <v>567</v>
      </c>
      <c r="H365" s="64" t="s">
        <v>569</v>
      </c>
      <c r="I365" s="64" t="s">
        <v>570</v>
      </c>
      <c r="J365" s="32">
        <v>6.1</v>
      </c>
      <c r="K365" s="63" t="s">
        <v>66</v>
      </c>
      <c r="L365" s="62" t="s">
        <v>600</v>
      </c>
      <c r="M365" s="62" t="s">
        <v>659</v>
      </c>
      <c r="N365" s="32" t="s">
        <v>782</v>
      </c>
      <c r="O365" s="65"/>
      <c r="P365" s="65"/>
      <c r="Q365" s="65"/>
    </row>
    <row r="366" spans="1:20" ht="99.75" x14ac:dyDescent="0.75">
      <c r="A366" s="61" t="s">
        <v>1450</v>
      </c>
      <c r="B366" s="32" t="s">
        <v>1451</v>
      </c>
      <c r="C366" s="32" t="s">
        <v>1434</v>
      </c>
      <c r="D366" s="32" t="s">
        <v>1106</v>
      </c>
      <c r="E366" s="32" t="s">
        <v>59</v>
      </c>
      <c r="F366" s="32">
        <v>4.0999999999999996</v>
      </c>
      <c r="G366" s="64" t="s">
        <v>567</v>
      </c>
      <c r="H366" s="64" t="s">
        <v>578</v>
      </c>
      <c r="I366" s="64" t="s">
        <v>579</v>
      </c>
      <c r="J366" s="32">
        <v>2.1</v>
      </c>
      <c r="K366" s="63" t="s">
        <v>658</v>
      </c>
      <c r="L366" s="64" t="s">
        <v>493</v>
      </c>
      <c r="M366" s="64" t="s">
        <v>659</v>
      </c>
      <c r="N366" s="32" t="s">
        <v>782</v>
      </c>
      <c r="O366" s="65"/>
      <c r="P366" s="65"/>
      <c r="Q366" s="65"/>
    </row>
    <row r="367" spans="1:20" ht="85.5" x14ac:dyDescent="0.75">
      <c r="A367" s="61" t="s">
        <v>1452</v>
      </c>
      <c r="B367" s="32" t="s">
        <v>1453</v>
      </c>
      <c r="C367" s="32" t="s">
        <v>1454</v>
      </c>
      <c r="D367" s="32" t="s">
        <v>1106</v>
      </c>
      <c r="E367" s="32" t="s">
        <v>59</v>
      </c>
      <c r="F367" s="32">
        <v>4.0999999999999996</v>
      </c>
      <c r="G367" s="64" t="s">
        <v>567</v>
      </c>
      <c r="H367" s="64" t="s">
        <v>578</v>
      </c>
      <c r="I367" s="64" t="s">
        <v>579</v>
      </c>
      <c r="J367" s="32">
        <v>3.1</v>
      </c>
      <c r="K367" s="63" t="s">
        <v>664</v>
      </c>
      <c r="L367" s="64" t="s">
        <v>552</v>
      </c>
      <c r="M367" s="64" t="s">
        <v>659</v>
      </c>
      <c r="N367" s="32" t="s">
        <v>782</v>
      </c>
      <c r="O367" s="65"/>
      <c r="P367" s="65"/>
      <c r="Q367" s="65"/>
    </row>
    <row r="368" spans="1:20" ht="85.5" x14ac:dyDescent="0.75">
      <c r="A368" s="61" t="s">
        <v>1455</v>
      </c>
      <c r="B368" s="32" t="s">
        <v>1456</v>
      </c>
      <c r="C368" s="32" t="s">
        <v>1454</v>
      </c>
      <c r="D368" s="32" t="s">
        <v>1106</v>
      </c>
      <c r="E368" s="32" t="s">
        <v>58</v>
      </c>
      <c r="F368" s="32">
        <v>4.0999999999999996</v>
      </c>
      <c r="G368" s="64" t="s">
        <v>567</v>
      </c>
      <c r="H368" s="64" t="s">
        <v>578</v>
      </c>
      <c r="I368" s="64" t="s">
        <v>579</v>
      </c>
      <c r="J368" s="32">
        <v>5.0999999999999996</v>
      </c>
      <c r="K368" s="63" t="s">
        <v>65</v>
      </c>
      <c r="L368" s="64" t="s">
        <v>1117</v>
      </c>
      <c r="M368" s="64" t="s">
        <v>659</v>
      </c>
      <c r="N368" s="32" t="s">
        <v>782</v>
      </c>
      <c r="O368" s="65"/>
      <c r="P368" s="65"/>
      <c r="Q368" s="65"/>
    </row>
    <row r="369" spans="1:20" s="72" customFormat="1" ht="85.5" x14ac:dyDescent="0.75">
      <c r="A369" s="61" t="s">
        <v>1457</v>
      </c>
      <c r="B369" s="32" t="s">
        <v>1458</v>
      </c>
      <c r="C369" s="32" t="s">
        <v>1454</v>
      </c>
      <c r="D369" s="32" t="s">
        <v>1106</v>
      </c>
      <c r="E369" s="32" t="s">
        <v>58</v>
      </c>
      <c r="F369" s="32">
        <v>4.0999999999999996</v>
      </c>
      <c r="G369" s="64" t="s">
        <v>567</v>
      </c>
      <c r="H369" s="64" t="s">
        <v>578</v>
      </c>
      <c r="I369" s="64" t="s">
        <v>579</v>
      </c>
      <c r="J369" s="32">
        <v>5.0999999999999996</v>
      </c>
      <c r="K369" s="64" t="s">
        <v>65</v>
      </c>
      <c r="L369" s="64" t="s">
        <v>1120</v>
      </c>
      <c r="M369" s="62" t="s">
        <v>659</v>
      </c>
      <c r="N369" s="32" t="s">
        <v>782</v>
      </c>
      <c r="O369" s="177"/>
      <c r="P369" s="177"/>
      <c r="Q369" s="177"/>
      <c r="R369" s="177"/>
      <c r="S369" s="177"/>
      <c r="T369" s="177"/>
    </row>
    <row r="370" spans="1:20" ht="99.75" x14ac:dyDescent="0.75">
      <c r="A370" s="61" t="s">
        <v>1459</v>
      </c>
      <c r="B370" s="32" t="s">
        <v>1460</v>
      </c>
      <c r="C370" s="32" t="s">
        <v>1434</v>
      </c>
      <c r="D370" s="32" t="s">
        <v>1106</v>
      </c>
      <c r="E370" s="32" t="s">
        <v>59</v>
      </c>
      <c r="F370" s="32">
        <v>4.0999999999999996</v>
      </c>
      <c r="G370" s="64" t="s">
        <v>567</v>
      </c>
      <c r="H370" s="64" t="s">
        <v>578</v>
      </c>
      <c r="I370" s="64" t="s">
        <v>579</v>
      </c>
      <c r="J370" s="32">
        <v>2.1</v>
      </c>
      <c r="K370" s="63" t="s">
        <v>658</v>
      </c>
      <c r="L370" s="64" t="s">
        <v>493</v>
      </c>
      <c r="M370" s="64" t="s">
        <v>659</v>
      </c>
      <c r="N370" s="32" t="s">
        <v>782</v>
      </c>
      <c r="O370" s="65"/>
      <c r="P370" s="65"/>
      <c r="Q370" s="65"/>
    </row>
    <row r="371" spans="1:20" ht="85.5" x14ac:dyDescent="0.75">
      <c r="A371" s="61" t="s">
        <v>1461</v>
      </c>
      <c r="B371" s="32" t="s">
        <v>1462</v>
      </c>
      <c r="C371" s="32" t="s">
        <v>1454</v>
      </c>
      <c r="D371" s="32" t="s">
        <v>1106</v>
      </c>
      <c r="E371" s="32" t="s">
        <v>59</v>
      </c>
      <c r="F371" s="32">
        <v>4.0999999999999996</v>
      </c>
      <c r="G371" s="64" t="s">
        <v>567</v>
      </c>
      <c r="H371" s="64" t="s">
        <v>578</v>
      </c>
      <c r="I371" s="64" t="s">
        <v>579</v>
      </c>
      <c r="J371" s="32">
        <v>3.1</v>
      </c>
      <c r="K371" s="63" t="s">
        <v>664</v>
      </c>
      <c r="L371" s="64" t="s">
        <v>552</v>
      </c>
      <c r="M371" s="64" t="s">
        <v>659</v>
      </c>
      <c r="N371" s="32" t="s">
        <v>782</v>
      </c>
      <c r="O371" s="65"/>
      <c r="P371" s="65"/>
      <c r="Q371" s="65"/>
    </row>
    <row r="372" spans="1:20" ht="85.5" x14ac:dyDescent="0.75">
      <c r="A372" s="61" t="s">
        <v>1463</v>
      </c>
      <c r="B372" s="32" t="s">
        <v>1464</v>
      </c>
      <c r="C372" s="32" t="s">
        <v>1454</v>
      </c>
      <c r="D372" s="32" t="s">
        <v>1106</v>
      </c>
      <c r="E372" s="32" t="s">
        <v>58</v>
      </c>
      <c r="F372" s="32">
        <v>4.0999999999999996</v>
      </c>
      <c r="G372" s="64" t="s">
        <v>567</v>
      </c>
      <c r="H372" s="64" t="s">
        <v>578</v>
      </c>
      <c r="I372" s="64" t="s">
        <v>579</v>
      </c>
      <c r="J372" s="32">
        <v>6.1</v>
      </c>
      <c r="K372" s="63" t="s">
        <v>66</v>
      </c>
      <c r="L372" s="62" t="s">
        <v>597</v>
      </c>
      <c r="M372" s="64" t="s">
        <v>676</v>
      </c>
      <c r="N372" s="32" t="s">
        <v>782</v>
      </c>
      <c r="O372" s="65"/>
      <c r="P372" s="65"/>
      <c r="Q372" s="65"/>
    </row>
    <row r="373" spans="1:20" ht="85.5" x14ac:dyDescent="0.75">
      <c r="A373" s="61" t="s">
        <v>1465</v>
      </c>
      <c r="B373" s="32" t="s">
        <v>1466</v>
      </c>
      <c r="C373" s="32" t="s">
        <v>1454</v>
      </c>
      <c r="D373" s="32" t="s">
        <v>1106</v>
      </c>
      <c r="E373" s="32" t="s">
        <v>58</v>
      </c>
      <c r="F373" s="32">
        <v>4.0999999999999996</v>
      </c>
      <c r="G373" s="64" t="s">
        <v>567</v>
      </c>
      <c r="H373" s="64" t="s">
        <v>578</v>
      </c>
      <c r="I373" s="64" t="s">
        <v>579</v>
      </c>
      <c r="J373" s="32">
        <v>6.1</v>
      </c>
      <c r="K373" s="63" t="s">
        <v>66</v>
      </c>
      <c r="L373" s="62" t="s">
        <v>600</v>
      </c>
      <c r="M373" s="62" t="s">
        <v>659</v>
      </c>
      <c r="N373" s="32" t="s">
        <v>782</v>
      </c>
      <c r="O373" s="65"/>
      <c r="P373" s="65"/>
      <c r="Q373" s="65"/>
    </row>
    <row r="374" spans="1:20" ht="114" x14ac:dyDescent="0.75">
      <c r="A374" s="61" t="s">
        <v>1467</v>
      </c>
      <c r="B374" s="32" t="s">
        <v>1468</v>
      </c>
      <c r="C374" s="32" t="s">
        <v>1469</v>
      </c>
      <c r="D374" s="32" t="s">
        <v>1106</v>
      </c>
      <c r="E374" s="32" t="s">
        <v>59</v>
      </c>
      <c r="F374" s="71">
        <v>2.2999999999999998</v>
      </c>
      <c r="G374" s="71" t="s">
        <v>525</v>
      </c>
      <c r="H374" s="71" t="s">
        <v>527</v>
      </c>
      <c r="I374" s="32" t="s">
        <v>528</v>
      </c>
      <c r="J374" s="32">
        <v>2.1</v>
      </c>
      <c r="K374" s="63" t="s">
        <v>658</v>
      </c>
      <c r="L374" s="64" t="s">
        <v>493</v>
      </c>
      <c r="M374" s="64" t="s">
        <v>659</v>
      </c>
      <c r="N374" s="32" t="s">
        <v>782</v>
      </c>
      <c r="O374" s="65"/>
      <c r="P374" s="65"/>
      <c r="Q374" s="65"/>
    </row>
    <row r="375" spans="1:20" ht="99.75" x14ac:dyDescent="0.75">
      <c r="A375" s="61" t="s">
        <v>1470</v>
      </c>
      <c r="B375" s="32" t="s">
        <v>1471</v>
      </c>
      <c r="C375" s="32" t="s">
        <v>1472</v>
      </c>
      <c r="D375" s="32" t="s">
        <v>1106</v>
      </c>
      <c r="E375" s="32" t="s">
        <v>59</v>
      </c>
      <c r="F375" s="71">
        <v>2.2999999999999998</v>
      </c>
      <c r="G375" s="71" t="s">
        <v>525</v>
      </c>
      <c r="H375" s="71" t="s">
        <v>527</v>
      </c>
      <c r="I375" s="32" t="s">
        <v>528</v>
      </c>
      <c r="J375" s="32">
        <v>3.1</v>
      </c>
      <c r="K375" s="63" t="s">
        <v>664</v>
      </c>
      <c r="L375" s="64" t="s">
        <v>552</v>
      </c>
      <c r="M375" s="64" t="s">
        <v>659</v>
      </c>
      <c r="N375" s="32" t="s">
        <v>782</v>
      </c>
      <c r="O375" s="65"/>
      <c r="P375" s="65"/>
      <c r="Q375" s="65"/>
    </row>
    <row r="376" spans="1:20" ht="99.75" x14ac:dyDescent="0.75">
      <c r="A376" s="61" t="s">
        <v>1473</v>
      </c>
      <c r="B376" s="32" t="s">
        <v>1474</v>
      </c>
      <c r="C376" s="32" t="s">
        <v>1472</v>
      </c>
      <c r="D376" s="32" t="s">
        <v>1106</v>
      </c>
      <c r="E376" s="32" t="s">
        <v>58</v>
      </c>
      <c r="F376" s="71">
        <v>2.2999999999999998</v>
      </c>
      <c r="G376" s="71" t="s">
        <v>525</v>
      </c>
      <c r="H376" s="71" t="s">
        <v>527</v>
      </c>
      <c r="I376" s="32" t="s">
        <v>528</v>
      </c>
      <c r="J376" s="32">
        <v>5.0999999999999996</v>
      </c>
      <c r="K376" s="63" t="s">
        <v>65</v>
      </c>
      <c r="L376" s="64" t="s">
        <v>1117</v>
      </c>
      <c r="M376" s="64" t="s">
        <v>659</v>
      </c>
      <c r="N376" s="32" t="s">
        <v>782</v>
      </c>
      <c r="O376" s="65"/>
      <c r="P376" s="65"/>
      <c r="Q376" s="65"/>
    </row>
    <row r="377" spans="1:20" s="72" customFormat="1" ht="99.75" x14ac:dyDescent="0.75">
      <c r="A377" s="61" t="s">
        <v>1475</v>
      </c>
      <c r="B377" s="32" t="s">
        <v>1476</v>
      </c>
      <c r="C377" s="32" t="s">
        <v>1472</v>
      </c>
      <c r="D377" s="32" t="s">
        <v>1106</v>
      </c>
      <c r="E377" s="32" t="s">
        <v>58</v>
      </c>
      <c r="F377" s="71">
        <v>2.2999999999999998</v>
      </c>
      <c r="G377" s="71" t="s">
        <v>525</v>
      </c>
      <c r="H377" s="71" t="s">
        <v>527</v>
      </c>
      <c r="I377" s="32" t="s">
        <v>528</v>
      </c>
      <c r="J377" s="32">
        <v>5.0999999999999996</v>
      </c>
      <c r="K377" s="64" t="s">
        <v>65</v>
      </c>
      <c r="L377" s="64" t="s">
        <v>1120</v>
      </c>
      <c r="M377" s="62" t="s">
        <v>659</v>
      </c>
      <c r="N377" s="32" t="s">
        <v>782</v>
      </c>
      <c r="O377" s="177"/>
      <c r="P377" s="177"/>
      <c r="Q377" s="177"/>
      <c r="R377" s="177"/>
      <c r="S377" s="177"/>
      <c r="T377" s="177"/>
    </row>
    <row r="378" spans="1:20" ht="114" x14ac:dyDescent="0.75">
      <c r="A378" s="61" t="s">
        <v>1477</v>
      </c>
      <c r="B378" s="32" t="s">
        <v>1478</v>
      </c>
      <c r="C378" s="32" t="s">
        <v>1479</v>
      </c>
      <c r="D378" s="32" t="s">
        <v>1106</v>
      </c>
      <c r="E378" s="32" t="s">
        <v>59</v>
      </c>
      <c r="F378" s="71">
        <v>2.2999999999999998</v>
      </c>
      <c r="G378" s="71" t="s">
        <v>525</v>
      </c>
      <c r="H378" s="71" t="s">
        <v>527</v>
      </c>
      <c r="I378" s="32" t="s">
        <v>528</v>
      </c>
      <c r="J378" s="32">
        <v>2.1</v>
      </c>
      <c r="K378" s="63" t="s">
        <v>658</v>
      </c>
      <c r="L378" s="64" t="s">
        <v>493</v>
      </c>
      <c r="M378" s="64" t="s">
        <v>659</v>
      </c>
      <c r="N378" s="32" t="s">
        <v>782</v>
      </c>
      <c r="O378" s="65"/>
      <c r="P378" s="65"/>
      <c r="Q378" s="65"/>
    </row>
    <row r="379" spans="1:20" ht="99.75" x14ac:dyDescent="0.75">
      <c r="A379" s="61" t="s">
        <v>1480</v>
      </c>
      <c r="B379" s="32" t="s">
        <v>1481</v>
      </c>
      <c r="C379" s="32" t="s">
        <v>1482</v>
      </c>
      <c r="D379" s="32" t="s">
        <v>1106</v>
      </c>
      <c r="E379" s="32" t="s">
        <v>59</v>
      </c>
      <c r="F379" s="71">
        <v>2.2999999999999998</v>
      </c>
      <c r="G379" s="71" t="s">
        <v>525</v>
      </c>
      <c r="H379" s="71" t="s">
        <v>527</v>
      </c>
      <c r="I379" s="32" t="s">
        <v>528</v>
      </c>
      <c r="J379" s="32">
        <v>3.1</v>
      </c>
      <c r="K379" s="63" t="s">
        <v>664</v>
      </c>
      <c r="L379" s="64" t="s">
        <v>552</v>
      </c>
      <c r="M379" s="64" t="s">
        <v>659</v>
      </c>
      <c r="N379" s="32" t="s">
        <v>782</v>
      </c>
      <c r="O379" s="65"/>
      <c r="P379" s="65"/>
      <c r="Q379" s="65"/>
    </row>
    <row r="380" spans="1:20" ht="99.75" x14ac:dyDescent="0.75">
      <c r="A380" s="61" t="s">
        <v>1483</v>
      </c>
      <c r="B380" s="32" t="s">
        <v>1484</v>
      </c>
      <c r="C380" s="32" t="s">
        <v>1482</v>
      </c>
      <c r="D380" s="32" t="s">
        <v>1106</v>
      </c>
      <c r="E380" s="32" t="s">
        <v>58</v>
      </c>
      <c r="F380" s="71">
        <v>2.2999999999999998</v>
      </c>
      <c r="G380" s="71" t="s">
        <v>525</v>
      </c>
      <c r="H380" s="71" t="s">
        <v>527</v>
      </c>
      <c r="I380" s="32" t="s">
        <v>528</v>
      </c>
      <c r="J380" s="32">
        <v>6.1</v>
      </c>
      <c r="K380" s="63" t="s">
        <v>66</v>
      </c>
      <c r="L380" s="62" t="s">
        <v>597</v>
      </c>
      <c r="M380" s="64" t="s">
        <v>676</v>
      </c>
      <c r="N380" s="32" t="s">
        <v>782</v>
      </c>
      <c r="O380" s="65"/>
      <c r="P380" s="65"/>
      <c r="Q380" s="65"/>
    </row>
    <row r="381" spans="1:20" ht="99.75" x14ac:dyDescent="0.75">
      <c r="A381" s="61" t="s">
        <v>1485</v>
      </c>
      <c r="B381" s="32" t="s">
        <v>1486</v>
      </c>
      <c r="C381" s="32" t="s">
        <v>1482</v>
      </c>
      <c r="D381" s="32" t="s">
        <v>1106</v>
      </c>
      <c r="E381" s="32" t="s">
        <v>58</v>
      </c>
      <c r="F381" s="71">
        <v>2.2999999999999998</v>
      </c>
      <c r="G381" s="71" t="s">
        <v>525</v>
      </c>
      <c r="H381" s="71" t="s">
        <v>527</v>
      </c>
      <c r="I381" s="32" t="s">
        <v>528</v>
      </c>
      <c r="J381" s="32">
        <v>6.1</v>
      </c>
      <c r="K381" s="63" t="s">
        <v>66</v>
      </c>
      <c r="L381" s="62" t="s">
        <v>600</v>
      </c>
      <c r="M381" s="62" t="s">
        <v>659</v>
      </c>
      <c r="N381" s="32" t="s">
        <v>782</v>
      </c>
      <c r="O381" s="65"/>
      <c r="P381" s="65"/>
      <c r="Q381" s="65"/>
    </row>
    <row r="382" spans="1:20" ht="42.75" x14ac:dyDescent="0.75">
      <c r="A382" s="61" t="s">
        <v>1487</v>
      </c>
      <c r="B382" s="32" t="s">
        <v>1488</v>
      </c>
      <c r="C382" s="32" t="s">
        <v>1489</v>
      </c>
      <c r="D382" s="32" t="s">
        <v>1106</v>
      </c>
      <c r="E382" s="32" t="s">
        <v>58</v>
      </c>
      <c r="F382" s="71">
        <v>2.2999999999999998</v>
      </c>
      <c r="G382" s="71" t="s">
        <v>525</v>
      </c>
      <c r="H382" s="71" t="s">
        <v>527</v>
      </c>
      <c r="I382" s="32" t="s">
        <v>528</v>
      </c>
      <c r="J382" s="32">
        <v>8.1</v>
      </c>
      <c r="K382" s="63" t="s">
        <v>932</v>
      </c>
      <c r="L382" s="32" t="s">
        <v>933</v>
      </c>
      <c r="M382" s="62" t="s">
        <v>932</v>
      </c>
      <c r="N382" s="32" t="s">
        <v>782</v>
      </c>
      <c r="O382" s="65"/>
      <c r="P382" s="65"/>
      <c r="Q382" s="65"/>
    </row>
    <row r="383" spans="1:20" ht="99.75" x14ac:dyDescent="0.75">
      <c r="A383" s="61" t="s">
        <v>1490</v>
      </c>
      <c r="B383" s="32" t="s">
        <v>1491</v>
      </c>
      <c r="C383" s="32" t="s">
        <v>1492</v>
      </c>
      <c r="D383" s="32" t="s">
        <v>1106</v>
      </c>
      <c r="E383" s="32" t="s">
        <v>59</v>
      </c>
      <c r="F383" s="32">
        <v>2.1</v>
      </c>
      <c r="G383" s="64" t="s">
        <v>491</v>
      </c>
      <c r="H383" s="64" t="s">
        <v>493</v>
      </c>
      <c r="I383" s="64" t="s">
        <v>494</v>
      </c>
      <c r="J383" s="32">
        <v>2.1</v>
      </c>
      <c r="K383" s="63" t="s">
        <v>658</v>
      </c>
      <c r="L383" s="64" t="s">
        <v>493</v>
      </c>
      <c r="M383" s="64" t="s">
        <v>659</v>
      </c>
      <c r="N383" s="32" t="s">
        <v>782</v>
      </c>
      <c r="O383" s="65"/>
      <c r="P383" s="65"/>
      <c r="Q383" s="65"/>
    </row>
    <row r="384" spans="1:20" ht="57" x14ac:dyDescent="0.75">
      <c r="A384" s="61" t="s">
        <v>1493</v>
      </c>
      <c r="B384" s="32" t="s">
        <v>1494</v>
      </c>
      <c r="C384" s="32" t="s">
        <v>1495</v>
      </c>
      <c r="D384" s="32" t="s">
        <v>1106</v>
      </c>
      <c r="E384" s="32" t="s">
        <v>59</v>
      </c>
      <c r="F384" s="32">
        <v>2.1</v>
      </c>
      <c r="G384" s="64" t="s">
        <v>491</v>
      </c>
      <c r="H384" s="64" t="s">
        <v>493</v>
      </c>
      <c r="I384" s="64" t="s">
        <v>494</v>
      </c>
      <c r="J384" s="32">
        <v>3.1</v>
      </c>
      <c r="K384" s="63" t="s">
        <v>664</v>
      </c>
      <c r="L384" s="64" t="s">
        <v>552</v>
      </c>
      <c r="M384" s="64" t="s">
        <v>659</v>
      </c>
      <c r="N384" s="32" t="s">
        <v>782</v>
      </c>
      <c r="O384" s="65"/>
      <c r="P384" s="65"/>
      <c r="Q384" s="65"/>
    </row>
    <row r="385" spans="1:17" ht="57" x14ac:dyDescent="0.75">
      <c r="A385" s="61" t="s">
        <v>1496</v>
      </c>
      <c r="B385" s="32" t="s">
        <v>1497</v>
      </c>
      <c r="C385" s="32" t="s">
        <v>1495</v>
      </c>
      <c r="D385" s="32" t="s">
        <v>1106</v>
      </c>
      <c r="E385" s="32" t="s">
        <v>58</v>
      </c>
      <c r="F385" s="32">
        <v>2.1</v>
      </c>
      <c r="G385" s="64" t="s">
        <v>491</v>
      </c>
      <c r="H385" s="64" t="s">
        <v>493</v>
      </c>
      <c r="I385" s="64" t="s">
        <v>494</v>
      </c>
      <c r="J385" s="32">
        <v>6.1</v>
      </c>
      <c r="K385" s="63" t="s">
        <v>66</v>
      </c>
      <c r="L385" s="62" t="s">
        <v>597</v>
      </c>
      <c r="M385" s="64" t="s">
        <v>676</v>
      </c>
      <c r="N385" s="32" t="s">
        <v>782</v>
      </c>
      <c r="O385" s="65"/>
      <c r="P385" s="65"/>
      <c r="Q385" s="65"/>
    </row>
    <row r="386" spans="1:17" ht="57" x14ac:dyDescent="0.75">
      <c r="A386" s="61" t="s">
        <v>1498</v>
      </c>
      <c r="B386" s="32" t="s">
        <v>1499</v>
      </c>
      <c r="C386" s="32" t="s">
        <v>1495</v>
      </c>
      <c r="D386" s="32" t="s">
        <v>1106</v>
      </c>
      <c r="E386" s="32" t="s">
        <v>58</v>
      </c>
      <c r="F386" s="32">
        <v>2.1</v>
      </c>
      <c r="G386" s="64" t="s">
        <v>491</v>
      </c>
      <c r="H386" s="64" t="s">
        <v>493</v>
      </c>
      <c r="I386" s="64" t="s">
        <v>494</v>
      </c>
      <c r="J386" s="32">
        <v>6.1</v>
      </c>
      <c r="K386" s="63" t="s">
        <v>66</v>
      </c>
      <c r="L386" s="62" t="s">
        <v>600</v>
      </c>
      <c r="M386" s="62" t="s">
        <v>659</v>
      </c>
      <c r="N386" s="32" t="s">
        <v>782</v>
      </c>
      <c r="O386" s="65"/>
      <c r="P386" s="65"/>
      <c r="Q386" s="65"/>
    </row>
    <row r="387" spans="1:17" ht="99.75" x14ac:dyDescent="0.75">
      <c r="A387" s="61" t="s">
        <v>1500</v>
      </c>
      <c r="B387" s="32" t="s">
        <v>1501</v>
      </c>
      <c r="C387" s="32" t="s">
        <v>1492</v>
      </c>
      <c r="D387" s="32" t="s">
        <v>1106</v>
      </c>
      <c r="E387" s="32" t="s">
        <v>59</v>
      </c>
      <c r="F387" s="32">
        <v>2.1</v>
      </c>
      <c r="G387" s="64" t="s">
        <v>491</v>
      </c>
      <c r="H387" s="64" t="s">
        <v>493</v>
      </c>
      <c r="I387" s="64" t="s">
        <v>494</v>
      </c>
      <c r="J387" s="32">
        <v>2.1</v>
      </c>
      <c r="K387" s="63" t="s">
        <v>658</v>
      </c>
      <c r="L387" s="64" t="s">
        <v>493</v>
      </c>
      <c r="M387" s="64" t="s">
        <v>659</v>
      </c>
      <c r="N387" s="32" t="s">
        <v>782</v>
      </c>
      <c r="O387" s="65"/>
      <c r="P387" s="65"/>
      <c r="Q387" s="65"/>
    </row>
    <row r="388" spans="1:17" ht="57" x14ac:dyDescent="0.75">
      <c r="A388" s="61" t="s">
        <v>1502</v>
      </c>
      <c r="B388" s="32" t="s">
        <v>1503</v>
      </c>
      <c r="C388" s="32" t="s">
        <v>1495</v>
      </c>
      <c r="D388" s="32" t="s">
        <v>1106</v>
      </c>
      <c r="E388" s="32" t="s">
        <v>59</v>
      </c>
      <c r="F388" s="32">
        <v>2.1</v>
      </c>
      <c r="G388" s="64" t="s">
        <v>491</v>
      </c>
      <c r="H388" s="64" t="s">
        <v>493</v>
      </c>
      <c r="I388" s="64" t="s">
        <v>494</v>
      </c>
      <c r="J388" s="32">
        <v>3.1</v>
      </c>
      <c r="K388" s="63" t="s">
        <v>664</v>
      </c>
      <c r="L388" s="64" t="s">
        <v>552</v>
      </c>
      <c r="M388" s="64" t="s">
        <v>659</v>
      </c>
      <c r="N388" s="32" t="s">
        <v>782</v>
      </c>
      <c r="O388" s="65"/>
      <c r="P388" s="65"/>
      <c r="Q388" s="65"/>
    </row>
    <row r="389" spans="1:17" ht="57" x14ac:dyDescent="0.75">
      <c r="A389" s="61" t="s">
        <v>1504</v>
      </c>
      <c r="B389" s="32" t="s">
        <v>1505</v>
      </c>
      <c r="C389" s="32" t="s">
        <v>1495</v>
      </c>
      <c r="D389" s="32" t="s">
        <v>1106</v>
      </c>
      <c r="E389" s="32" t="s">
        <v>58</v>
      </c>
      <c r="F389" s="32">
        <v>2.1</v>
      </c>
      <c r="G389" s="64" t="s">
        <v>491</v>
      </c>
      <c r="H389" s="64" t="s">
        <v>493</v>
      </c>
      <c r="I389" s="64" t="s">
        <v>494</v>
      </c>
      <c r="J389" s="32">
        <v>6.1</v>
      </c>
      <c r="K389" s="63" t="s">
        <v>66</v>
      </c>
      <c r="L389" s="62" t="s">
        <v>597</v>
      </c>
      <c r="M389" s="64" t="s">
        <v>676</v>
      </c>
      <c r="N389" s="32" t="s">
        <v>782</v>
      </c>
      <c r="O389" s="65"/>
      <c r="P389" s="65"/>
      <c r="Q389" s="65"/>
    </row>
    <row r="390" spans="1:17" ht="57" x14ac:dyDescent="0.75">
      <c r="A390" s="61" t="s">
        <v>1506</v>
      </c>
      <c r="B390" s="32" t="s">
        <v>1507</v>
      </c>
      <c r="C390" s="32" t="s">
        <v>1495</v>
      </c>
      <c r="D390" s="32" t="s">
        <v>1106</v>
      </c>
      <c r="E390" s="32" t="s">
        <v>58</v>
      </c>
      <c r="F390" s="32">
        <v>2.1</v>
      </c>
      <c r="G390" s="64" t="s">
        <v>491</v>
      </c>
      <c r="H390" s="64" t="s">
        <v>493</v>
      </c>
      <c r="I390" s="64" t="s">
        <v>494</v>
      </c>
      <c r="J390" s="32">
        <v>6.1</v>
      </c>
      <c r="K390" s="63" t="s">
        <v>66</v>
      </c>
      <c r="L390" s="62" t="s">
        <v>600</v>
      </c>
      <c r="M390" s="62" t="s">
        <v>659</v>
      </c>
      <c r="N390" s="32" t="s">
        <v>782</v>
      </c>
      <c r="O390" s="65"/>
      <c r="P390" s="65"/>
      <c r="Q390" s="65"/>
    </row>
    <row r="391" spans="1:17" ht="57" x14ac:dyDescent="0.75">
      <c r="A391" s="74" t="s">
        <v>1508</v>
      </c>
      <c r="B391" s="75" t="s">
        <v>1509</v>
      </c>
      <c r="C391" s="75" t="s">
        <v>1510</v>
      </c>
      <c r="D391" s="32" t="s">
        <v>1106</v>
      </c>
      <c r="E391" s="75" t="s">
        <v>58</v>
      </c>
      <c r="F391" s="32">
        <v>2.1</v>
      </c>
      <c r="G391" s="64" t="s">
        <v>491</v>
      </c>
      <c r="H391" s="62" t="s">
        <v>493</v>
      </c>
      <c r="I391" s="62" t="s">
        <v>494</v>
      </c>
      <c r="J391" s="32">
        <v>9.1</v>
      </c>
      <c r="K391" s="73" t="s">
        <v>1028</v>
      </c>
      <c r="L391" s="62" t="s">
        <v>1511</v>
      </c>
      <c r="M391" s="62" t="s">
        <v>1030</v>
      </c>
      <c r="N391" s="32" t="s">
        <v>782</v>
      </c>
      <c r="O391" s="65"/>
      <c r="P391" s="65"/>
      <c r="Q391" s="65"/>
    </row>
    <row r="392" spans="1:17" ht="42.75" x14ac:dyDescent="0.75">
      <c r="A392" s="61" t="s">
        <v>1512</v>
      </c>
      <c r="B392" s="32" t="s">
        <v>1513</v>
      </c>
      <c r="C392" s="32" t="s">
        <v>656</v>
      </c>
      <c r="D392" s="32" t="s">
        <v>1106</v>
      </c>
      <c r="E392" s="32" t="s">
        <v>59</v>
      </c>
      <c r="F392" s="32">
        <v>0.2</v>
      </c>
      <c r="G392" s="62" t="s">
        <v>435</v>
      </c>
      <c r="H392" s="62" t="s">
        <v>446</v>
      </c>
      <c r="I392" s="62" t="s">
        <v>1514</v>
      </c>
      <c r="J392" s="32">
        <v>2.1</v>
      </c>
      <c r="K392" s="63" t="s">
        <v>658</v>
      </c>
      <c r="L392" s="64" t="s">
        <v>493</v>
      </c>
      <c r="M392" s="64" t="s">
        <v>659</v>
      </c>
      <c r="N392" s="32" t="s">
        <v>782</v>
      </c>
      <c r="O392" s="65"/>
      <c r="P392" s="65"/>
      <c r="Q392" s="65"/>
    </row>
    <row r="393" spans="1:17" ht="42.75" x14ac:dyDescent="0.75">
      <c r="A393" s="61" t="s">
        <v>1515</v>
      </c>
      <c r="B393" s="32" t="s">
        <v>1516</v>
      </c>
      <c r="D393" s="32" t="s">
        <v>1106</v>
      </c>
      <c r="E393" s="32" t="s">
        <v>59</v>
      </c>
      <c r="F393" s="32">
        <v>0.2</v>
      </c>
      <c r="G393" s="62" t="s">
        <v>435</v>
      </c>
      <c r="H393" s="62" t="s">
        <v>446</v>
      </c>
      <c r="I393" s="62" t="s">
        <v>1514</v>
      </c>
      <c r="J393" s="32">
        <v>3.1</v>
      </c>
      <c r="K393" s="63" t="s">
        <v>664</v>
      </c>
      <c r="L393" s="64" t="s">
        <v>552</v>
      </c>
      <c r="M393" s="64" t="s">
        <v>659</v>
      </c>
      <c r="N393" s="32" t="s">
        <v>782</v>
      </c>
      <c r="O393" s="65"/>
      <c r="P393" s="65"/>
      <c r="Q393" s="65"/>
    </row>
    <row r="394" spans="1:17" ht="42.75" x14ac:dyDescent="0.75">
      <c r="A394" s="61" t="s">
        <v>1517</v>
      </c>
      <c r="B394" s="32" t="s">
        <v>1518</v>
      </c>
      <c r="C394" s="32" t="s">
        <v>656</v>
      </c>
      <c r="D394" s="32" t="s">
        <v>1106</v>
      </c>
      <c r="E394" s="32" t="s">
        <v>59</v>
      </c>
      <c r="F394" s="32">
        <v>0.2</v>
      </c>
      <c r="G394" s="62" t="s">
        <v>435</v>
      </c>
      <c r="H394" s="62" t="s">
        <v>446</v>
      </c>
      <c r="I394" s="62" t="s">
        <v>1514</v>
      </c>
      <c r="J394" s="32">
        <v>2.1</v>
      </c>
      <c r="K394" s="63" t="s">
        <v>658</v>
      </c>
      <c r="L394" s="64" t="s">
        <v>493</v>
      </c>
      <c r="M394" s="64" t="s">
        <v>659</v>
      </c>
      <c r="N394" s="32" t="s">
        <v>782</v>
      </c>
      <c r="O394" s="65"/>
      <c r="P394" s="65"/>
      <c r="Q394" s="65"/>
    </row>
    <row r="395" spans="1:17" ht="42.75" x14ac:dyDescent="0.75">
      <c r="A395" s="61" t="s">
        <v>1519</v>
      </c>
      <c r="B395" s="32" t="s">
        <v>1520</v>
      </c>
      <c r="D395" s="32" t="s">
        <v>1106</v>
      </c>
      <c r="E395" s="32" t="s">
        <v>59</v>
      </c>
      <c r="F395" s="32">
        <v>0.2</v>
      </c>
      <c r="G395" s="62" t="s">
        <v>435</v>
      </c>
      <c r="H395" s="62" t="s">
        <v>446</v>
      </c>
      <c r="I395" s="62" t="s">
        <v>1514</v>
      </c>
      <c r="J395" s="32">
        <v>3.1</v>
      </c>
      <c r="K395" s="63" t="s">
        <v>664</v>
      </c>
      <c r="L395" s="64" t="s">
        <v>552</v>
      </c>
      <c r="M395" s="64" t="s">
        <v>659</v>
      </c>
      <c r="N395" s="32" t="s">
        <v>782</v>
      </c>
      <c r="O395" s="65"/>
      <c r="P395" s="65"/>
      <c r="Q395" s="65"/>
    </row>
    <row r="396" spans="1:17" ht="42.75" x14ac:dyDescent="0.75">
      <c r="A396" s="61" t="s">
        <v>1521</v>
      </c>
      <c r="B396" s="32" t="s">
        <v>1522</v>
      </c>
      <c r="D396" s="32" t="s">
        <v>1106</v>
      </c>
      <c r="E396" s="32" t="s">
        <v>58</v>
      </c>
      <c r="F396" s="32">
        <v>0.2</v>
      </c>
      <c r="G396" s="62" t="s">
        <v>435</v>
      </c>
      <c r="H396" s="62" t="s">
        <v>446</v>
      </c>
      <c r="I396" s="62" t="s">
        <v>1514</v>
      </c>
      <c r="J396" s="32">
        <v>6.1</v>
      </c>
      <c r="K396" s="63" t="s">
        <v>66</v>
      </c>
      <c r="L396" s="62" t="s">
        <v>597</v>
      </c>
      <c r="M396" s="64" t="s">
        <v>676</v>
      </c>
      <c r="N396" s="32" t="s">
        <v>782</v>
      </c>
      <c r="O396" s="65"/>
      <c r="P396" s="65"/>
      <c r="Q396" s="65"/>
    </row>
    <row r="397" spans="1:17" ht="42.75" x14ac:dyDescent="0.75">
      <c r="A397" s="61" t="s">
        <v>1523</v>
      </c>
      <c r="B397" s="32" t="s">
        <v>1524</v>
      </c>
      <c r="D397" s="32" t="s">
        <v>1106</v>
      </c>
      <c r="E397" s="32" t="s">
        <v>58</v>
      </c>
      <c r="F397" s="32">
        <v>0.2</v>
      </c>
      <c r="G397" s="62" t="s">
        <v>435</v>
      </c>
      <c r="H397" s="62" t="s">
        <v>446</v>
      </c>
      <c r="I397" s="62" t="s">
        <v>1514</v>
      </c>
      <c r="J397" s="32">
        <v>6.1</v>
      </c>
      <c r="K397" s="63" t="s">
        <v>66</v>
      </c>
      <c r="L397" s="62" t="s">
        <v>600</v>
      </c>
      <c r="M397" s="62" t="s">
        <v>659</v>
      </c>
      <c r="N397" s="32" t="s">
        <v>782</v>
      </c>
      <c r="O397" s="65"/>
      <c r="P397" s="65"/>
      <c r="Q397" s="65"/>
    </row>
    <row r="398" spans="1:17" ht="71.25" x14ac:dyDescent="0.75">
      <c r="A398" s="61" t="s">
        <v>1525</v>
      </c>
      <c r="B398" s="32" t="s">
        <v>944</v>
      </c>
      <c r="C398" s="32" t="s">
        <v>1526</v>
      </c>
      <c r="D398" s="32" t="s">
        <v>1106</v>
      </c>
      <c r="E398" s="32" t="s">
        <v>59</v>
      </c>
      <c r="F398" s="32">
        <v>0.2</v>
      </c>
      <c r="G398" s="62" t="s">
        <v>435</v>
      </c>
      <c r="H398" s="62" t="s">
        <v>446</v>
      </c>
      <c r="I398" s="62" t="s">
        <v>1514</v>
      </c>
      <c r="J398" s="32">
        <v>2.1</v>
      </c>
      <c r="K398" s="63" t="s">
        <v>658</v>
      </c>
      <c r="L398" s="64" t="s">
        <v>493</v>
      </c>
      <c r="M398" s="64" t="s">
        <v>659</v>
      </c>
      <c r="N398" s="32" t="s">
        <v>767</v>
      </c>
      <c r="O398" s="65"/>
      <c r="P398" s="65"/>
      <c r="Q398" s="65"/>
    </row>
    <row r="399" spans="1:17" ht="28.5" x14ac:dyDescent="0.75">
      <c r="A399" s="61" t="s">
        <v>1527</v>
      </c>
      <c r="B399" s="32" t="s">
        <v>946</v>
      </c>
      <c r="C399" s="32" t="s">
        <v>1528</v>
      </c>
      <c r="D399" s="32" t="s">
        <v>1106</v>
      </c>
      <c r="E399" s="32" t="s">
        <v>59</v>
      </c>
      <c r="F399" s="32">
        <v>0.2</v>
      </c>
      <c r="G399" s="62" t="s">
        <v>435</v>
      </c>
      <c r="H399" s="62" t="s">
        <v>446</v>
      </c>
      <c r="I399" s="62" t="s">
        <v>1514</v>
      </c>
      <c r="J399" s="32">
        <v>3.1</v>
      </c>
      <c r="K399" s="63" t="s">
        <v>664</v>
      </c>
      <c r="L399" s="64" t="s">
        <v>552</v>
      </c>
      <c r="M399" s="64" t="s">
        <v>659</v>
      </c>
      <c r="N399" s="32" t="s">
        <v>767</v>
      </c>
      <c r="O399" s="65"/>
      <c r="P399" s="65"/>
      <c r="Q399" s="65"/>
    </row>
    <row r="400" spans="1:17" ht="42.75" x14ac:dyDescent="0.75">
      <c r="A400" s="61" t="s">
        <v>1529</v>
      </c>
      <c r="B400" s="32" t="s">
        <v>948</v>
      </c>
      <c r="C400" s="32" t="s">
        <v>656</v>
      </c>
      <c r="D400" s="32" t="s">
        <v>1106</v>
      </c>
      <c r="E400" s="32" t="s">
        <v>59</v>
      </c>
      <c r="F400" s="62">
        <v>0.1</v>
      </c>
      <c r="G400" s="62" t="s">
        <v>415</v>
      </c>
      <c r="H400" s="69" t="s">
        <v>429</v>
      </c>
      <c r="I400" s="69" t="s">
        <v>430</v>
      </c>
      <c r="J400" s="32">
        <v>2.1</v>
      </c>
      <c r="K400" s="63" t="s">
        <v>658</v>
      </c>
      <c r="L400" s="64" t="s">
        <v>493</v>
      </c>
      <c r="M400" s="64" t="s">
        <v>659</v>
      </c>
      <c r="O400" s="126"/>
      <c r="P400" s="126"/>
      <c r="Q400" s="126"/>
    </row>
    <row r="401" spans="1:17" ht="42.75" x14ac:dyDescent="0.75">
      <c r="A401" s="61" t="s">
        <v>1530</v>
      </c>
      <c r="B401" s="32" t="s">
        <v>950</v>
      </c>
      <c r="C401" s="32" t="s">
        <v>663</v>
      </c>
      <c r="D401" s="32" t="s">
        <v>1106</v>
      </c>
      <c r="E401" s="32" t="s">
        <v>59</v>
      </c>
      <c r="F401" s="62">
        <v>0.1</v>
      </c>
      <c r="G401" s="62" t="s">
        <v>415</v>
      </c>
      <c r="H401" s="69" t="s">
        <v>429</v>
      </c>
      <c r="I401" s="69" t="s">
        <v>430</v>
      </c>
      <c r="J401" s="32">
        <v>3.1</v>
      </c>
      <c r="K401" s="63" t="s">
        <v>664</v>
      </c>
      <c r="L401" s="64" t="s">
        <v>552</v>
      </c>
      <c r="M401" s="64" t="s">
        <v>659</v>
      </c>
      <c r="O401" s="126"/>
      <c r="P401" s="126"/>
      <c r="Q401" s="126"/>
    </row>
    <row r="402" spans="1:17" ht="28.5" x14ac:dyDescent="0.75">
      <c r="A402" s="61" t="s">
        <v>1531</v>
      </c>
      <c r="B402" s="32" t="s">
        <v>952</v>
      </c>
      <c r="C402" s="32" t="s">
        <v>656</v>
      </c>
      <c r="D402" s="32" t="s">
        <v>1106</v>
      </c>
      <c r="E402" s="32" t="s">
        <v>59</v>
      </c>
      <c r="F402" s="62">
        <v>0.1</v>
      </c>
      <c r="G402" s="62" t="s">
        <v>415</v>
      </c>
      <c r="H402" s="69" t="s">
        <v>432</v>
      </c>
      <c r="I402" s="69" t="s">
        <v>433</v>
      </c>
      <c r="J402" s="32">
        <v>2.1</v>
      </c>
      <c r="K402" s="63" t="s">
        <v>658</v>
      </c>
      <c r="L402" s="64" t="s">
        <v>493</v>
      </c>
      <c r="M402" s="64" t="s">
        <v>659</v>
      </c>
      <c r="O402" s="126"/>
      <c r="P402" s="126"/>
      <c r="Q402" s="126"/>
    </row>
    <row r="403" spans="1:17" ht="28.5" x14ac:dyDescent="0.75">
      <c r="A403" s="61" t="s">
        <v>1532</v>
      </c>
      <c r="B403" s="32" t="s">
        <v>954</v>
      </c>
      <c r="C403" s="32" t="s">
        <v>663</v>
      </c>
      <c r="D403" s="32" t="s">
        <v>1106</v>
      </c>
      <c r="E403" s="32" t="s">
        <v>59</v>
      </c>
      <c r="F403" s="62">
        <v>0.1</v>
      </c>
      <c r="G403" s="62" t="s">
        <v>415</v>
      </c>
      <c r="H403" s="69" t="s">
        <v>432</v>
      </c>
      <c r="I403" s="69" t="s">
        <v>433</v>
      </c>
      <c r="J403" s="32">
        <v>3.1</v>
      </c>
      <c r="K403" s="63" t="s">
        <v>664</v>
      </c>
      <c r="L403" s="64" t="s">
        <v>552</v>
      </c>
      <c r="M403" s="64" t="s">
        <v>659</v>
      </c>
      <c r="O403" s="126"/>
      <c r="P403" s="126"/>
      <c r="Q403" s="126"/>
    </row>
    <row r="404" spans="1:17" ht="42.75" x14ac:dyDescent="0.75">
      <c r="A404" s="61" t="s">
        <v>1533</v>
      </c>
      <c r="B404" s="32" t="s">
        <v>956</v>
      </c>
      <c r="C404" s="32" t="s">
        <v>656</v>
      </c>
      <c r="D404" s="32" t="s">
        <v>1106</v>
      </c>
      <c r="E404" s="32" t="s">
        <v>59</v>
      </c>
      <c r="F404" s="62">
        <v>0.1</v>
      </c>
      <c r="G404" s="62" t="s">
        <v>415</v>
      </c>
      <c r="H404" s="69" t="s">
        <v>429</v>
      </c>
      <c r="I404" s="69" t="s">
        <v>430</v>
      </c>
      <c r="J404" s="32">
        <v>2.1</v>
      </c>
      <c r="K404" s="63" t="s">
        <v>658</v>
      </c>
      <c r="L404" s="64" t="s">
        <v>493</v>
      </c>
      <c r="M404" s="64" t="s">
        <v>659</v>
      </c>
      <c r="N404" s="32" t="s">
        <v>801</v>
      </c>
      <c r="O404" s="126"/>
      <c r="P404" s="126"/>
      <c r="Q404" s="126"/>
    </row>
    <row r="405" spans="1:17" ht="42.75" x14ac:dyDescent="0.75">
      <c r="A405" s="61" t="s">
        <v>1534</v>
      </c>
      <c r="B405" s="32" t="s">
        <v>958</v>
      </c>
      <c r="C405" s="32" t="s">
        <v>663</v>
      </c>
      <c r="D405" s="32" t="s">
        <v>1106</v>
      </c>
      <c r="E405" s="32" t="s">
        <v>59</v>
      </c>
      <c r="F405" s="62">
        <v>0.1</v>
      </c>
      <c r="G405" s="62" t="s">
        <v>415</v>
      </c>
      <c r="H405" s="69" t="s">
        <v>429</v>
      </c>
      <c r="I405" s="69" t="s">
        <v>430</v>
      </c>
      <c r="J405" s="32">
        <v>3.1</v>
      </c>
      <c r="K405" s="63" t="s">
        <v>664</v>
      </c>
      <c r="L405" s="64" t="s">
        <v>552</v>
      </c>
      <c r="M405" s="64" t="s">
        <v>659</v>
      </c>
      <c r="N405" s="32" t="s">
        <v>801</v>
      </c>
      <c r="O405" s="126"/>
      <c r="P405" s="126"/>
      <c r="Q405" s="126"/>
    </row>
    <row r="406" spans="1:17" ht="28.5" x14ac:dyDescent="0.75">
      <c r="A406" s="61" t="s">
        <v>1535</v>
      </c>
      <c r="B406" s="32" t="s">
        <v>1536</v>
      </c>
      <c r="D406" s="32" t="s">
        <v>121</v>
      </c>
      <c r="E406" s="32" t="s">
        <v>58</v>
      </c>
      <c r="F406" s="32">
        <v>3.1</v>
      </c>
      <c r="G406" s="64" t="s">
        <v>550</v>
      </c>
      <c r="H406" s="62" t="s">
        <v>558</v>
      </c>
      <c r="I406" s="62" t="s">
        <v>559</v>
      </c>
      <c r="J406" s="32">
        <v>6.1</v>
      </c>
      <c r="K406" s="63" t="s">
        <v>66</v>
      </c>
      <c r="L406" s="62" t="s">
        <v>597</v>
      </c>
      <c r="M406" s="64" t="s">
        <v>676</v>
      </c>
      <c r="N406" s="32" t="s">
        <v>1537</v>
      </c>
      <c r="O406" s="65"/>
      <c r="P406" s="65"/>
      <c r="Q406" s="65"/>
    </row>
    <row r="407" spans="1:17" ht="28.5" x14ac:dyDescent="0.75">
      <c r="A407" s="61" t="s">
        <v>1538</v>
      </c>
      <c r="B407" s="32" t="s">
        <v>1539</v>
      </c>
      <c r="D407" s="32" t="s">
        <v>121</v>
      </c>
      <c r="E407" s="32" t="s">
        <v>58</v>
      </c>
      <c r="F407" s="32">
        <v>3.1</v>
      </c>
      <c r="G407" s="64" t="s">
        <v>550</v>
      </c>
      <c r="H407" s="62" t="s">
        <v>558</v>
      </c>
      <c r="I407" s="62" t="s">
        <v>559</v>
      </c>
      <c r="J407" s="32">
        <v>6.1</v>
      </c>
      <c r="K407" s="63" t="s">
        <v>66</v>
      </c>
      <c r="L407" s="62" t="s">
        <v>600</v>
      </c>
      <c r="M407" s="62" t="s">
        <v>659</v>
      </c>
      <c r="N407" s="32" t="s">
        <v>1537</v>
      </c>
      <c r="O407" s="65"/>
      <c r="P407" s="65"/>
      <c r="Q407" s="65"/>
    </row>
    <row r="408" spans="1:17" ht="42.75" x14ac:dyDescent="0.75">
      <c r="A408" s="61" t="s">
        <v>1540</v>
      </c>
      <c r="B408" s="32" t="s">
        <v>1541</v>
      </c>
      <c r="C408" s="32" t="s">
        <v>656</v>
      </c>
      <c r="D408" s="32" t="s">
        <v>121</v>
      </c>
      <c r="E408" s="32" t="s">
        <v>59</v>
      </c>
      <c r="F408" s="32">
        <v>3.1</v>
      </c>
      <c r="G408" s="64" t="s">
        <v>550</v>
      </c>
      <c r="H408" s="62" t="s">
        <v>558</v>
      </c>
      <c r="I408" s="62" t="s">
        <v>559</v>
      </c>
      <c r="J408" s="32">
        <v>2.1</v>
      </c>
      <c r="K408" s="63" t="s">
        <v>658</v>
      </c>
      <c r="L408" s="64" t="s">
        <v>493</v>
      </c>
      <c r="M408" s="64" t="s">
        <v>659</v>
      </c>
      <c r="N408" s="32" t="s">
        <v>1537</v>
      </c>
      <c r="O408" s="65"/>
      <c r="P408" s="65"/>
      <c r="Q408" s="65"/>
    </row>
    <row r="409" spans="1:17" ht="28.5" x14ac:dyDescent="0.75">
      <c r="A409" s="61" t="s">
        <v>1542</v>
      </c>
      <c r="B409" s="32" t="s">
        <v>1543</v>
      </c>
      <c r="C409" s="32" t="s">
        <v>663</v>
      </c>
      <c r="D409" s="32" t="s">
        <v>121</v>
      </c>
      <c r="E409" s="32" t="s">
        <v>59</v>
      </c>
      <c r="F409" s="32">
        <v>3.1</v>
      </c>
      <c r="G409" s="64" t="s">
        <v>550</v>
      </c>
      <c r="H409" s="62" t="s">
        <v>558</v>
      </c>
      <c r="I409" s="62" t="s">
        <v>559</v>
      </c>
      <c r="J409" s="32">
        <v>3.1</v>
      </c>
      <c r="K409" s="63" t="s">
        <v>664</v>
      </c>
      <c r="L409" s="64" t="s">
        <v>552</v>
      </c>
      <c r="M409" s="64" t="s">
        <v>659</v>
      </c>
      <c r="N409" s="32" t="s">
        <v>1537</v>
      </c>
      <c r="O409" s="65"/>
      <c r="P409" s="65"/>
      <c r="Q409" s="65"/>
    </row>
    <row r="410" spans="1:17" ht="42.75" x14ac:dyDescent="0.75">
      <c r="A410" s="61" t="s">
        <v>1544</v>
      </c>
      <c r="B410" s="32" t="s">
        <v>1545</v>
      </c>
      <c r="C410" s="32" t="s">
        <v>656</v>
      </c>
      <c r="D410" s="32" t="s">
        <v>121</v>
      </c>
      <c r="E410" s="32" t="s">
        <v>59</v>
      </c>
      <c r="F410" s="32">
        <v>3.1</v>
      </c>
      <c r="G410" s="64" t="s">
        <v>550</v>
      </c>
      <c r="H410" s="62" t="s">
        <v>558</v>
      </c>
      <c r="I410" s="62" t="s">
        <v>559</v>
      </c>
      <c r="J410" s="32">
        <v>2.1</v>
      </c>
      <c r="K410" s="63" t="s">
        <v>658</v>
      </c>
      <c r="L410" s="64" t="s">
        <v>493</v>
      </c>
      <c r="M410" s="64" t="s">
        <v>659</v>
      </c>
      <c r="N410" s="32" t="s">
        <v>1537</v>
      </c>
      <c r="O410" s="65"/>
      <c r="P410" s="65"/>
      <c r="Q410" s="65"/>
    </row>
    <row r="411" spans="1:17" ht="42.75" x14ac:dyDescent="0.75">
      <c r="A411" s="61" t="s">
        <v>1546</v>
      </c>
      <c r="B411" s="32" t="s">
        <v>1547</v>
      </c>
      <c r="C411" s="32" t="s">
        <v>663</v>
      </c>
      <c r="D411" s="32" t="s">
        <v>121</v>
      </c>
      <c r="E411" s="32" t="s">
        <v>59</v>
      </c>
      <c r="F411" s="32">
        <v>3.1</v>
      </c>
      <c r="G411" s="64" t="s">
        <v>550</v>
      </c>
      <c r="H411" s="62" t="s">
        <v>558</v>
      </c>
      <c r="I411" s="62" t="s">
        <v>559</v>
      </c>
      <c r="J411" s="32">
        <v>3.1</v>
      </c>
      <c r="K411" s="63" t="s">
        <v>664</v>
      </c>
      <c r="L411" s="64" t="s">
        <v>552</v>
      </c>
      <c r="M411" s="64" t="s">
        <v>659</v>
      </c>
      <c r="N411" s="32" t="s">
        <v>1537</v>
      </c>
      <c r="O411" s="65"/>
      <c r="P411" s="65"/>
      <c r="Q411" s="65"/>
    </row>
    <row r="412" spans="1:17" ht="28.5" x14ac:dyDescent="0.75">
      <c r="A412" s="61" t="s">
        <v>1548</v>
      </c>
      <c r="B412" s="32" t="s">
        <v>1549</v>
      </c>
      <c r="C412" s="32" t="s">
        <v>663</v>
      </c>
      <c r="D412" s="32" t="s">
        <v>121</v>
      </c>
      <c r="E412" s="32" t="s">
        <v>58</v>
      </c>
      <c r="F412" s="32">
        <v>3.1</v>
      </c>
      <c r="G412" s="64" t="s">
        <v>550</v>
      </c>
      <c r="H412" s="62" t="s">
        <v>558</v>
      </c>
      <c r="I412" s="62" t="s">
        <v>559</v>
      </c>
      <c r="J412" s="32">
        <v>6.1</v>
      </c>
      <c r="K412" s="63" t="s">
        <v>66</v>
      </c>
      <c r="L412" s="62" t="s">
        <v>597</v>
      </c>
      <c r="M412" s="64" t="s">
        <v>676</v>
      </c>
      <c r="N412" s="32" t="s">
        <v>1537</v>
      </c>
      <c r="O412" s="65"/>
      <c r="P412" s="65"/>
      <c r="Q412" s="65"/>
    </row>
    <row r="413" spans="1:17" ht="42.75" x14ac:dyDescent="0.75">
      <c r="A413" s="61" t="s">
        <v>1550</v>
      </c>
      <c r="B413" s="32" t="s">
        <v>1551</v>
      </c>
      <c r="C413" s="32" t="s">
        <v>663</v>
      </c>
      <c r="D413" s="32" t="s">
        <v>121</v>
      </c>
      <c r="E413" s="32" t="s">
        <v>58</v>
      </c>
      <c r="F413" s="32">
        <v>3.1</v>
      </c>
      <c r="G413" s="64" t="s">
        <v>550</v>
      </c>
      <c r="H413" s="62" t="s">
        <v>558</v>
      </c>
      <c r="I413" s="62" t="s">
        <v>559</v>
      </c>
      <c r="J413" s="32">
        <v>6.1</v>
      </c>
      <c r="K413" s="63" t="s">
        <v>66</v>
      </c>
      <c r="L413" s="62" t="s">
        <v>600</v>
      </c>
      <c r="M413" s="62" t="s">
        <v>659</v>
      </c>
      <c r="N413" s="32" t="s">
        <v>1537</v>
      </c>
      <c r="O413" s="65"/>
      <c r="P413" s="65"/>
      <c r="Q413" s="65"/>
    </row>
    <row r="414" spans="1:17" ht="42.75" x14ac:dyDescent="0.75">
      <c r="A414" s="61" t="s">
        <v>1552</v>
      </c>
      <c r="B414" s="32" t="s">
        <v>1553</v>
      </c>
      <c r="C414" s="32" t="s">
        <v>656</v>
      </c>
      <c r="D414" s="32" t="s">
        <v>121</v>
      </c>
      <c r="E414" s="32" t="s">
        <v>59</v>
      </c>
      <c r="F414" s="32">
        <v>3.1</v>
      </c>
      <c r="G414" s="64" t="s">
        <v>550</v>
      </c>
      <c r="H414" s="62" t="s">
        <v>558</v>
      </c>
      <c r="I414" s="62" t="s">
        <v>559</v>
      </c>
      <c r="J414" s="32">
        <v>2.1</v>
      </c>
      <c r="K414" s="63" t="s">
        <v>658</v>
      </c>
      <c r="L414" s="64" t="s">
        <v>493</v>
      </c>
      <c r="M414" s="64" t="s">
        <v>659</v>
      </c>
      <c r="N414" s="32" t="s">
        <v>1537</v>
      </c>
      <c r="O414" s="65"/>
      <c r="P414" s="65"/>
      <c r="Q414" s="65"/>
    </row>
    <row r="415" spans="1:17" ht="42.75" x14ac:dyDescent="0.75">
      <c r="A415" s="61" t="s">
        <v>1554</v>
      </c>
      <c r="B415" s="32" t="s">
        <v>1555</v>
      </c>
      <c r="C415" s="32" t="s">
        <v>663</v>
      </c>
      <c r="D415" s="32" t="s">
        <v>121</v>
      </c>
      <c r="E415" s="32" t="s">
        <v>59</v>
      </c>
      <c r="F415" s="32">
        <v>3.1</v>
      </c>
      <c r="G415" s="64" t="s">
        <v>550</v>
      </c>
      <c r="H415" s="62" t="s">
        <v>558</v>
      </c>
      <c r="I415" s="62" t="s">
        <v>559</v>
      </c>
      <c r="J415" s="32">
        <v>3.1</v>
      </c>
      <c r="K415" s="63" t="s">
        <v>664</v>
      </c>
      <c r="L415" s="64" t="s">
        <v>552</v>
      </c>
      <c r="M415" s="64" t="s">
        <v>659</v>
      </c>
      <c r="N415" s="32" t="s">
        <v>1537</v>
      </c>
      <c r="O415" s="65"/>
      <c r="P415" s="65"/>
      <c r="Q415" s="65"/>
    </row>
    <row r="416" spans="1:17" ht="42.75" x14ac:dyDescent="0.75">
      <c r="A416" s="61" t="s">
        <v>1556</v>
      </c>
      <c r="B416" s="32" t="s">
        <v>1557</v>
      </c>
      <c r="C416" s="32" t="s">
        <v>656</v>
      </c>
      <c r="D416" s="32" t="s">
        <v>121</v>
      </c>
      <c r="E416" s="32" t="s">
        <v>59</v>
      </c>
      <c r="F416" s="32">
        <v>3.1</v>
      </c>
      <c r="G416" s="64" t="s">
        <v>550</v>
      </c>
      <c r="H416" s="62" t="s">
        <v>558</v>
      </c>
      <c r="I416" s="62" t="s">
        <v>559</v>
      </c>
      <c r="J416" s="32">
        <v>2.1</v>
      </c>
      <c r="K416" s="63" t="s">
        <v>658</v>
      </c>
      <c r="L416" s="64" t="s">
        <v>493</v>
      </c>
      <c r="M416" s="64" t="s">
        <v>659</v>
      </c>
      <c r="N416" s="32" t="s">
        <v>1537</v>
      </c>
      <c r="O416" s="65"/>
      <c r="P416" s="65"/>
      <c r="Q416" s="65"/>
    </row>
    <row r="417" spans="1:17" ht="42.75" x14ac:dyDescent="0.75">
      <c r="A417" s="61" t="s">
        <v>1558</v>
      </c>
      <c r="B417" s="32" t="s">
        <v>1559</v>
      </c>
      <c r="C417" s="32" t="s">
        <v>663</v>
      </c>
      <c r="D417" s="32" t="s">
        <v>121</v>
      </c>
      <c r="E417" s="32" t="s">
        <v>59</v>
      </c>
      <c r="F417" s="32">
        <v>3.1</v>
      </c>
      <c r="G417" s="64" t="s">
        <v>550</v>
      </c>
      <c r="H417" s="62" t="s">
        <v>558</v>
      </c>
      <c r="I417" s="62" t="s">
        <v>559</v>
      </c>
      <c r="J417" s="32">
        <v>3.1</v>
      </c>
      <c r="K417" s="63" t="s">
        <v>664</v>
      </c>
      <c r="L417" s="64" t="s">
        <v>552</v>
      </c>
      <c r="M417" s="64" t="s">
        <v>659</v>
      </c>
      <c r="N417" s="32" t="s">
        <v>1537</v>
      </c>
      <c r="O417" s="65"/>
      <c r="P417" s="65"/>
      <c r="Q417" s="65"/>
    </row>
    <row r="418" spans="1:17" ht="42.75" x14ac:dyDescent="0.75">
      <c r="A418" s="61" t="s">
        <v>1560</v>
      </c>
      <c r="B418" s="32" t="s">
        <v>1561</v>
      </c>
      <c r="C418" s="32" t="s">
        <v>663</v>
      </c>
      <c r="D418" s="32" t="s">
        <v>121</v>
      </c>
      <c r="E418" s="32" t="s">
        <v>58</v>
      </c>
      <c r="F418" s="32">
        <v>3.1</v>
      </c>
      <c r="G418" s="64" t="s">
        <v>550</v>
      </c>
      <c r="H418" s="62" t="s">
        <v>558</v>
      </c>
      <c r="I418" s="62" t="s">
        <v>559</v>
      </c>
      <c r="J418" s="32">
        <v>6.1</v>
      </c>
      <c r="K418" s="63" t="s">
        <v>66</v>
      </c>
      <c r="L418" s="62" t="s">
        <v>597</v>
      </c>
      <c r="M418" s="64" t="s">
        <v>676</v>
      </c>
      <c r="N418" s="32" t="s">
        <v>1537</v>
      </c>
      <c r="O418" s="65"/>
      <c r="P418" s="65"/>
      <c r="Q418" s="65"/>
    </row>
    <row r="419" spans="1:17" ht="42.75" x14ac:dyDescent="0.75">
      <c r="A419" s="61" t="s">
        <v>1562</v>
      </c>
      <c r="B419" s="32" t="s">
        <v>1563</v>
      </c>
      <c r="C419" s="32" t="s">
        <v>663</v>
      </c>
      <c r="D419" s="32" t="s">
        <v>121</v>
      </c>
      <c r="E419" s="32" t="s">
        <v>58</v>
      </c>
      <c r="F419" s="32">
        <v>3.1</v>
      </c>
      <c r="G419" s="64" t="s">
        <v>550</v>
      </c>
      <c r="H419" s="62" t="s">
        <v>558</v>
      </c>
      <c r="I419" s="62" t="s">
        <v>559</v>
      </c>
      <c r="J419" s="32">
        <v>6.1</v>
      </c>
      <c r="K419" s="63" t="s">
        <v>66</v>
      </c>
      <c r="L419" s="62" t="s">
        <v>600</v>
      </c>
      <c r="M419" s="62" t="s">
        <v>659</v>
      </c>
      <c r="N419" s="32" t="s">
        <v>1537</v>
      </c>
      <c r="O419" s="65"/>
      <c r="P419" s="65"/>
      <c r="Q419" s="65"/>
    </row>
    <row r="420" spans="1:17" ht="42.75" x14ac:dyDescent="0.75">
      <c r="A420" s="61" t="s">
        <v>1564</v>
      </c>
      <c r="B420" s="32" t="s">
        <v>1565</v>
      </c>
      <c r="C420" s="32" t="s">
        <v>656</v>
      </c>
      <c r="D420" s="32" t="s">
        <v>121</v>
      </c>
      <c r="E420" s="32" t="s">
        <v>59</v>
      </c>
      <c r="F420" s="32">
        <v>3.1</v>
      </c>
      <c r="G420" s="64" t="s">
        <v>550</v>
      </c>
      <c r="H420" s="64" t="s">
        <v>555</v>
      </c>
      <c r="I420" s="64" t="s">
        <v>556</v>
      </c>
      <c r="J420" s="32">
        <v>2.1</v>
      </c>
      <c r="K420" s="63" t="s">
        <v>658</v>
      </c>
      <c r="L420" s="64" t="s">
        <v>493</v>
      </c>
      <c r="M420" s="64" t="s">
        <v>659</v>
      </c>
      <c r="N420" s="32" t="s">
        <v>1537</v>
      </c>
      <c r="O420" s="65"/>
      <c r="P420" s="65"/>
      <c r="Q420" s="65"/>
    </row>
    <row r="421" spans="1:17" ht="42.75" x14ac:dyDescent="0.75">
      <c r="A421" s="61" t="s">
        <v>1566</v>
      </c>
      <c r="B421" s="32" t="s">
        <v>1567</v>
      </c>
      <c r="C421" s="32" t="s">
        <v>663</v>
      </c>
      <c r="D421" s="32" t="s">
        <v>121</v>
      </c>
      <c r="E421" s="32" t="s">
        <v>59</v>
      </c>
      <c r="F421" s="32">
        <v>3.1</v>
      </c>
      <c r="G421" s="64" t="s">
        <v>550</v>
      </c>
      <c r="H421" s="64" t="s">
        <v>555</v>
      </c>
      <c r="I421" s="64" t="s">
        <v>556</v>
      </c>
      <c r="J421" s="32">
        <v>3.1</v>
      </c>
      <c r="K421" s="63" t="s">
        <v>664</v>
      </c>
      <c r="L421" s="64" t="s">
        <v>552</v>
      </c>
      <c r="M421" s="64" t="s">
        <v>659</v>
      </c>
      <c r="N421" s="32" t="s">
        <v>1537</v>
      </c>
      <c r="O421" s="65"/>
      <c r="P421" s="65"/>
      <c r="Q421" s="65"/>
    </row>
    <row r="422" spans="1:17" ht="28.5" x14ac:dyDescent="0.75">
      <c r="A422" s="61" t="s">
        <v>1568</v>
      </c>
      <c r="B422" s="32" t="s">
        <v>1569</v>
      </c>
      <c r="C422" s="32" t="s">
        <v>656</v>
      </c>
      <c r="D422" s="32" t="s">
        <v>121</v>
      </c>
      <c r="E422" s="32" t="s">
        <v>59</v>
      </c>
      <c r="F422" s="32">
        <v>3.1</v>
      </c>
      <c r="G422" s="64" t="s">
        <v>550</v>
      </c>
      <c r="H422" s="64" t="s">
        <v>552</v>
      </c>
      <c r="I422" s="64" t="s">
        <v>553</v>
      </c>
      <c r="J422" s="32">
        <v>2.1</v>
      </c>
      <c r="K422" s="63" t="s">
        <v>658</v>
      </c>
      <c r="L422" s="64" t="s">
        <v>493</v>
      </c>
      <c r="M422" s="64" t="s">
        <v>659</v>
      </c>
      <c r="N422" s="32" t="s">
        <v>1537</v>
      </c>
      <c r="O422" s="65"/>
      <c r="P422" s="65"/>
      <c r="Q422" s="65"/>
    </row>
    <row r="423" spans="1:17" ht="28.5" x14ac:dyDescent="0.75">
      <c r="A423" s="61" t="s">
        <v>1570</v>
      </c>
      <c r="B423" s="32" t="s">
        <v>1571</v>
      </c>
      <c r="C423" s="32" t="s">
        <v>663</v>
      </c>
      <c r="D423" s="32" t="s">
        <v>121</v>
      </c>
      <c r="E423" s="32" t="s">
        <v>59</v>
      </c>
      <c r="F423" s="32">
        <v>3.1</v>
      </c>
      <c r="G423" s="64" t="s">
        <v>550</v>
      </c>
      <c r="H423" s="64" t="s">
        <v>552</v>
      </c>
      <c r="I423" s="64" t="s">
        <v>553</v>
      </c>
      <c r="J423" s="32">
        <v>3.1</v>
      </c>
      <c r="K423" s="63" t="s">
        <v>664</v>
      </c>
      <c r="L423" s="64" t="s">
        <v>552</v>
      </c>
      <c r="M423" s="64" t="s">
        <v>659</v>
      </c>
      <c r="N423" s="32" t="s">
        <v>1537</v>
      </c>
      <c r="O423" s="65"/>
      <c r="P423" s="65"/>
      <c r="Q423" s="65"/>
    </row>
    <row r="424" spans="1:17" ht="42.75" x14ac:dyDescent="0.75">
      <c r="A424" s="61" t="s">
        <v>1572</v>
      </c>
      <c r="B424" s="32" t="s">
        <v>1573</v>
      </c>
      <c r="C424" s="32" t="s">
        <v>656</v>
      </c>
      <c r="D424" s="32" t="s">
        <v>121</v>
      </c>
      <c r="E424" s="32" t="s">
        <v>59</v>
      </c>
      <c r="F424" s="32">
        <v>3.1</v>
      </c>
      <c r="G424" s="64" t="s">
        <v>550</v>
      </c>
      <c r="H424" s="64" t="s">
        <v>555</v>
      </c>
      <c r="I424" s="64" t="s">
        <v>556</v>
      </c>
      <c r="J424" s="32">
        <v>2.1</v>
      </c>
      <c r="K424" s="63" t="s">
        <v>658</v>
      </c>
      <c r="L424" s="64" t="s">
        <v>493</v>
      </c>
      <c r="M424" s="64" t="s">
        <v>659</v>
      </c>
      <c r="N424" s="32" t="s">
        <v>1537</v>
      </c>
      <c r="O424" s="65"/>
      <c r="P424" s="65"/>
      <c r="Q424" s="65"/>
    </row>
    <row r="425" spans="1:17" ht="42.75" x14ac:dyDescent="0.75">
      <c r="A425" s="61" t="s">
        <v>1574</v>
      </c>
      <c r="B425" s="32" t="s">
        <v>1575</v>
      </c>
      <c r="C425" s="32" t="s">
        <v>663</v>
      </c>
      <c r="D425" s="32" t="s">
        <v>121</v>
      </c>
      <c r="E425" s="32" t="s">
        <v>59</v>
      </c>
      <c r="F425" s="32">
        <v>3.1</v>
      </c>
      <c r="G425" s="64" t="s">
        <v>550</v>
      </c>
      <c r="H425" s="64" t="s">
        <v>555</v>
      </c>
      <c r="I425" s="64" t="s">
        <v>556</v>
      </c>
      <c r="J425" s="32">
        <v>3.1</v>
      </c>
      <c r="K425" s="63" t="s">
        <v>664</v>
      </c>
      <c r="L425" s="64" t="s">
        <v>552</v>
      </c>
      <c r="M425" s="64" t="s">
        <v>659</v>
      </c>
      <c r="N425" s="32" t="s">
        <v>1537</v>
      </c>
      <c r="O425" s="65"/>
      <c r="P425" s="65"/>
      <c r="Q425" s="65"/>
    </row>
    <row r="426" spans="1:17" ht="28.5" x14ac:dyDescent="0.75">
      <c r="A426" s="61" t="s">
        <v>1576</v>
      </c>
      <c r="B426" s="32" t="s">
        <v>1577</v>
      </c>
      <c r="C426" s="32" t="s">
        <v>656</v>
      </c>
      <c r="D426" s="32" t="s">
        <v>121</v>
      </c>
      <c r="E426" s="32" t="s">
        <v>59</v>
      </c>
      <c r="F426" s="32">
        <v>3.1</v>
      </c>
      <c r="G426" s="64" t="s">
        <v>550</v>
      </c>
      <c r="H426" s="64" t="s">
        <v>552</v>
      </c>
      <c r="I426" s="64" t="s">
        <v>553</v>
      </c>
      <c r="J426" s="32">
        <v>2.1</v>
      </c>
      <c r="K426" s="63" t="s">
        <v>658</v>
      </c>
      <c r="L426" s="64" t="s">
        <v>493</v>
      </c>
      <c r="M426" s="64" t="s">
        <v>659</v>
      </c>
      <c r="N426" s="32" t="s">
        <v>1578</v>
      </c>
      <c r="O426" s="65"/>
      <c r="P426" s="65"/>
      <c r="Q426" s="65"/>
    </row>
    <row r="427" spans="1:17" ht="28.5" x14ac:dyDescent="0.75">
      <c r="A427" s="61" t="s">
        <v>1579</v>
      </c>
      <c r="B427" s="32" t="s">
        <v>1580</v>
      </c>
      <c r="C427" s="68"/>
      <c r="D427" s="32" t="s">
        <v>121</v>
      </c>
      <c r="E427" s="32" t="s">
        <v>59</v>
      </c>
      <c r="F427" s="32">
        <v>3.1</v>
      </c>
      <c r="G427" s="64" t="s">
        <v>550</v>
      </c>
      <c r="H427" s="64" t="s">
        <v>552</v>
      </c>
      <c r="I427" s="64" t="s">
        <v>553</v>
      </c>
      <c r="J427" s="32">
        <v>3.1</v>
      </c>
      <c r="K427" s="63" t="s">
        <v>664</v>
      </c>
      <c r="L427" s="64" t="s">
        <v>552</v>
      </c>
      <c r="M427" s="64" t="s">
        <v>659</v>
      </c>
      <c r="N427" s="32" t="s">
        <v>1578</v>
      </c>
      <c r="O427" s="65"/>
      <c r="P427" s="65"/>
      <c r="Q427" s="65"/>
    </row>
    <row r="428" spans="1:17" ht="114" x14ac:dyDescent="0.75">
      <c r="A428" s="61" t="s">
        <v>1581</v>
      </c>
      <c r="B428" s="32" t="s">
        <v>1582</v>
      </c>
      <c r="C428" s="32" t="s">
        <v>1583</v>
      </c>
      <c r="D428" s="32" t="s">
        <v>121</v>
      </c>
      <c r="E428" s="32" t="s">
        <v>59</v>
      </c>
      <c r="F428" s="32">
        <v>3.1</v>
      </c>
      <c r="G428" s="64" t="s">
        <v>550</v>
      </c>
      <c r="H428" s="64" t="s">
        <v>552</v>
      </c>
      <c r="I428" s="64" t="s">
        <v>553</v>
      </c>
      <c r="J428" s="32">
        <v>2.1</v>
      </c>
      <c r="K428" s="63" t="s">
        <v>658</v>
      </c>
      <c r="L428" s="64" t="s">
        <v>493</v>
      </c>
      <c r="M428" s="64" t="s">
        <v>659</v>
      </c>
      <c r="N428" s="32" t="s">
        <v>1537</v>
      </c>
      <c r="O428" s="65"/>
      <c r="P428" s="65"/>
      <c r="Q428" s="65"/>
    </row>
    <row r="429" spans="1:17" ht="71.25" x14ac:dyDescent="0.75">
      <c r="A429" s="61" t="s">
        <v>1584</v>
      </c>
      <c r="B429" s="32" t="s">
        <v>1585</v>
      </c>
      <c r="C429" s="32" t="s">
        <v>1586</v>
      </c>
      <c r="D429" s="32" t="s">
        <v>121</v>
      </c>
      <c r="E429" s="32" t="s">
        <v>59</v>
      </c>
      <c r="F429" s="32">
        <v>3.1</v>
      </c>
      <c r="G429" s="64" t="s">
        <v>550</v>
      </c>
      <c r="H429" s="64" t="s">
        <v>552</v>
      </c>
      <c r="I429" s="64" t="s">
        <v>553</v>
      </c>
      <c r="J429" s="32">
        <v>3.1</v>
      </c>
      <c r="K429" s="63" t="s">
        <v>664</v>
      </c>
      <c r="L429" s="64" t="s">
        <v>552</v>
      </c>
      <c r="M429" s="64" t="s">
        <v>659</v>
      </c>
      <c r="N429" s="32" t="s">
        <v>1537</v>
      </c>
      <c r="O429" s="65"/>
      <c r="P429" s="65"/>
      <c r="Q429" s="65"/>
    </row>
    <row r="430" spans="1:17" ht="71.25" x14ac:dyDescent="0.75">
      <c r="A430" s="61" t="s">
        <v>1587</v>
      </c>
      <c r="B430" s="32" t="s">
        <v>1588</v>
      </c>
      <c r="C430" s="32" t="s">
        <v>1586</v>
      </c>
      <c r="D430" s="32" t="s">
        <v>121</v>
      </c>
      <c r="E430" s="32" t="s">
        <v>58</v>
      </c>
      <c r="F430" s="32">
        <v>3.1</v>
      </c>
      <c r="G430" s="64" t="s">
        <v>550</v>
      </c>
      <c r="H430" s="64" t="s">
        <v>552</v>
      </c>
      <c r="I430" s="64" t="s">
        <v>553</v>
      </c>
      <c r="J430" s="32">
        <v>6.1</v>
      </c>
      <c r="K430" s="63" t="s">
        <v>66</v>
      </c>
      <c r="L430" s="62" t="s">
        <v>597</v>
      </c>
      <c r="M430" s="64" t="s">
        <v>676</v>
      </c>
      <c r="N430" s="32" t="s">
        <v>1537</v>
      </c>
      <c r="O430" s="65"/>
      <c r="P430" s="65"/>
      <c r="Q430" s="65"/>
    </row>
    <row r="431" spans="1:17" ht="71.25" x14ac:dyDescent="0.75">
      <c r="A431" s="61" t="s">
        <v>1589</v>
      </c>
      <c r="B431" s="32" t="s">
        <v>1590</v>
      </c>
      <c r="C431" s="32" t="s">
        <v>1586</v>
      </c>
      <c r="D431" s="32" t="s">
        <v>121</v>
      </c>
      <c r="E431" s="32" t="s">
        <v>58</v>
      </c>
      <c r="F431" s="32">
        <v>3.1</v>
      </c>
      <c r="G431" s="64" t="s">
        <v>550</v>
      </c>
      <c r="H431" s="64" t="s">
        <v>552</v>
      </c>
      <c r="I431" s="64" t="s">
        <v>553</v>
      </c>
      <c r="J431" s="32">
        <v>6.1</v>
      </c>
      <c r="K431" s="63" t="s">
        <v>66</v>
      </c>
      <c r="L431" s="62" t="s">
        <v>600</v>
      </c>
      <c r="M431" s="62" t="s">
        <v>659</v>
      </c>
      <c r="N431" s="32" t="s">
        <v>1537</v>
      </c>
      <c r="O431" s="65"/>
      <c r="P431" s="65"/>
      <c r="Q431" s="65"/>
    </row>
    <row r="432" spans="1:17" ht="28.5" x14ac:dyDescent="0.75">
      <c r="A432" s="61" t="s">
        <v>1591</v>
      </c>
      <c r="B432" s="32" t="s">
        <v>1592</v>
      </c>
      <c r="C432" s="32" t="s">
        <v>656</v>
      </c>
      <c r="D432" s="32" t="s">
        <v>121</v>
      </c>
      <c r="E432" s="32" t="s">
        <v>59</v>
      </c>
      <c r="F432" s="32">
        <v>3.1</v>
      </c>
      <c r="G432" s="64" t="s">
        <v>550</v>
      </c>
      <c r="H432" s="64" t="s">
        <v>552</v>
      </c>
      <c r="I432" s="64" t="s">
        <v>553</v>
      </c>
      <c r="J432" s="32">
        <v>2.1</v>
      </c>
      <c r="K432" s="63" t="s">
        <v>658</v>
      </c>
      <c r="L432" s="64" t="s">
        <v>493</v>
      </c>
      <c r="M432" s="64" t="s">
        <v>659</v>
      </c>
      <c r="N432" s="32" t="s">
        <v>1537</v>
      </c>
      <c r="O432" s="126"/>
      <c r="P432" s="126"/>
      <c r="Q432" s="126"/>
    </row>
    <row r="433" spans="1:17" ht="28.5" x14ac:dyDescent="0.75">
      <c r="A433" s="61" t="s">
        <v>1593</v>
      </c>
      <c r="B433" s="32" t="s">
        <v>1594</v>
      </c>
      <c r="D433" s="32" t="s">
        <v>121</v>
      </c>
      <c r="E433" s="32" t="s">
        <v>59</v>
      </c>
      <c r="F433" s="32">
        <v>3.1</v>
      </c>
      <c r="G433" s="64" t="s">
        <v>550</v>
      </c>
      <c r="H433" s="64" t="s">
        <v>552</v>
      </c>
      <c r="I433" s="64" t="s">
        <v>553</v>
      </c>
      <c r="J433" s="32">
        <v>3.1</v>
      </c>
      <c r="K433" s="63" t="s">
        <v>664</v>
      </c>
      <c r="L433" s="64" t="s">
        <v>552</v>
      </c>
      <c r="M433" s="64" t="s">
        <v>659</v>
      </c>
      <c r="N433" s="32" t="s">
        <v>1537</v>
      </c>
      <c r="O433" s="126"/>
      <c r="P433" s="126"/>
      <c r="Q433" s="126"/>
    </row>
    <row r="434" spans="1:17" ht="42.75" x14ac:dyDescent="0.75">
      <c r="A434" s="61" t="s">
        <v>1595</v>
      </c>
      <c r="B434" s="32" t="s">
        <v>1596</v>
      </c>
      <c r="C434" s="32" t="s">
        <v>656</v>
      </c>
      <c r="D434" s="32" t="s">
        <v>121</v>
      </c>
      <c r="E434" s="32" t="s">
        <v>59</v>
      </c>
      <c r="F434" s="32">
        <v>3.1</v>
      </c>
      <c r="G434" s="64" t="s">
        <v>550</v>
      </c>
      <c r="H434" s="64" t="s">
        <v>552</v>
      </c>
      <c r="I434" s="64" t="s">
        <v>553</v>
      </c>
      <c r="J434" s="32">
        <v>2.1</v>
      </c>
      <c r="K434" s="63" t="s">
        <v>658</v>
      </c>
      <c r="L434" s="64" t="s">
        <v>493</v>
      </c>
      <c r="M434" s="64" t="s">
        <v>659</v>
      </c>
      <c r="N434" s="32" t="s">
        <v>1537</v>
      </c>
      <c r="O434" s="126"/>
      <c r="P434" s="126"/>
      <c r="Q434" s="126"/>
    </row>
    <row r="435" spans="1:17" ht="28.5" x14ac:dyDescent="0.75">
      <c r="A435" s="61" t="s">
        <v>1597</v>
      </c>
      <c r="B435" s="32" t="s">
        <v>1598</v>
      </c>
      <c r="C435" s="32" t="s">
        <v>663</v>
      </c>
      <c r="D435" s="32" t="s">
        <v>121</v>
      </c>
      <c r="E435" s="32" t="s">
        <v>59</v>
      </c>
      <c r="F435" s="32">
        <v>3.1</v>
      </c>
      <c r="G435" s="64" t="s">
        <v>550</v>
      </c>
      <c r="H435" s="64" t="s">
        <v>552</v>
      </c>
      <c r="I435" s="64" t="s">
        <v>553</v>
      </c>
      <c r="J435" s="32">
        <v>3.1</v>
      </c>
      <c r="K435" s="63" t="s">
        <v>664</v>
      </c>
      <c r="L435" s="64" t="s">
        <v>552</v>
      </c>
      <c r="M435" s="64" t="s">
        <v>659</v>
      </c>
      <c r="N435" s="32" t="s">
        <v>1537</v>
      </c>
      <c r="O435" s="126"/>
      <c r="P435" s="126"/>
      <c r="Q435" s="126"/>
    </row>
    <row r="436" spans="1:17" ht="28.5" x14ac:dyDescent="0.75">
      <c r="A436" s="61" t="s">
        <v>1599</v>
      </c>
      <c r="B436" s="32" t="s">
        <v>1600</v>
      </c>
      <c r="C436" s="32" t="s">
        <v>663</v>
      </c>
      <c r="D436" s="32" t="s">
        <v>121</v>
      </c>
      <c r="E436" s="32" t="s">
        <v>58</v>
      </c>
      <c r="F436" s="32">
        <v>3.1</v>
      </c>
      <c r="G436" s="64" t="s">
        <v>550</v>
      </c>
      <c r="H436" s="64" t="s">
        <v>552</v>
      </c>
      <c r="I436" s="64" t="s">
        <v>553</v>
      </c>
      <c r="J436" s="32">
        <v>6.1</v>
      </c>
      <c r="K436" s="63" t="s">
        <v>66</v>
      </c>
      <c r="L436" s="62" t="s">
        <v>597</v>
      </c>
      <c r="M436" s="64" t="s">
        <v>676</v>
      </c>
      <c r="N436" s="32" t="s">
        <v>1537</v>
      </c>
      <c r="O436" s="126"/>
      <c r="P436" s="126"/>
      <c r="Q436" s="126"/>
    </row>
    <row r="437" spans="1:17" ht="28.5" x14ac:dyDescent="0.75">
      <c r="A437" s="61" t="s">
        <v>1601</v>
      </c>
      <c r="B437" s="32" t="s">
        <v>1602</v>
      </c>
      <c r="C437" s="32" t="s">
        <v>663</v>
      </c>
      <c r="D437" s="32" t="s">
        <v>121</v>
      </c>
      <c r="E437" s="32" t="s">
        <v>58</v>
      </c>
      <c r="F437" s="32">
        <v>3.1</v>
      </c>
      <c r="G437" s="64" t="s">
        <v>550</v>
      </c>
      <c r="H437" s="64" t="s">
        <v>552</v>
      </c>
      <c r="I437" s="64" t="s">
        <v>553</v>
      </c>
      <c r="J437" s="32">
        <v>6.1</v>
      </c>
      <c r="K437" s="63" t="s">
        <v>66</v>
      </c>
      <c r="L437" s="62" t="s">
        <v>600</v>
      </c>
      <c r="M437" s="62" t="s">
        <v>659</v>
      </c>
      <c r="N437" s="32" t="s">
        <v>1537</v>
      </c>
      <c r="O437" s="126"/>
      <c r="P437" s="126"/>
      <c r="Q437" s="126"/>
    </row>
    <row r="438" spans="1:17" ht="171" x14ac:dyDescent="0.75">
      <c r="A438" s="61" t="s">
        <v>1603</v>
      </c>
      <c r="B438" s="32" t="s">
        <v>1604</v>
      </c>
      <c r="C438" s="32" t="s">
        <v>1605</v>
      </c>
      <c r="D438" s="32" t="s">
        <v>121</v>
      </c>
      <c r="E438" s="32" t="s">
        <v>59</v>
      </c>
      <c r="F438" s="32">
        <v>2.4</v>
      </c>
      <c r="G438" s="64" t="s">
        <v>530</v>
      </c>
      <c r="H438" s="62" t="s">
        <v>535</v>
      </c>
      <c r="I438" s="64" t="s">
        <v>536</v>
      </c>
      <c r="J438" s="32">
        <v>2.1</v>
      </c>
      <c r="K438" s="63" t="s">
        <v>658</v>
      </c>
      <c r="L438" s="64" t="s">
        <v>493</v>
      </c>
      <c r="M438" s="64" t="s">
        <v>659</v>
      </c>
      <c r="N438" s="32" t="s">
        <v>782</v>
      </c>
      <c r="O438" s="65"/>
      <c r="P438" s="65"/>
      <c r="Q438" s="65"/>
    </row>
    <row r="439" spans="1:17" ht="128.25" x14ac:dyDescent="0.75">
      <c r="A439" s="61" t="s">
        <v>1606</v>
      </c>
      <c r="B439" s="32" t="s">
        <v>1607</v>
      </c>
      <c r="C439" s="32" t="s">
        <v>1608</v>
      </c>
      <c r="D439" s="32" t="s">
        <v>121</v>
      </c>
      <c r="E439" s="32" t="s">
        <v>59</v>
      </c>
      <c r="F439" s="32">
        <v>2.4</v>
      </c>
      <c r="G439" s="64" t="s">
        <v>530</v>
      </c>
      <c r="H439" s="62" t="s">
        <v>535</v>
      </c>
      <c r="I439" s="64" t="s">
        <v>536</v>
      </c>
      <c r="J439" s="32">
        <v>3.1</v>
      </c>
      <c r="K439" s="63" t="s">
        <v>664</v>
      </c>
      <c r="L439" s="64" t="s">
        <v>552</v>
      </c>
      <c r="M439" s="64" t="s">
        <v>659</v>
      </c>
      <c r="N439" s="32" t="s">
        <v>782</v>
      </c>
      <c r="O439" s="65"/>
      <c r="P439" s="65"/>
      <c r="Q439" s="65"/>
    </row>
    <row r="440" spans="1:17" s="72" customFormat="1" ht="128.25" x14ac:dyDescent="0.75">
      <c r="A440" s="61" t="s">
        <v>1609</v>
      </c>
      <c r="B440" s="32" t="s">
        <v>1610</v>
      </c>
      <c r="C440" s="32" t="s">
        <v>1608</v>
      </c>
      <c r="D440" s="32" t="s">
        <v>121</v>
      </c>
      <c r="E440" s="32" t="s">
        <v>58</v>
      </c>
      <c r="F440" s="32">
        <v>2.4</v>
      </c>
      <c r="G440" s="64" t="s">
        <v>530</v>
      </c>
      <c r="H440" s="62" t="s">
        <v>535</v>
      </c>
      <c r="I440" s="64" t="s">
        <v>536</v>
      </c>
      <c r="J440" s="32">
        <v>6.1</v>
      </c>
      <c r="K440" s="63" t="s">
        <v>66</v>
      </c>
      <c r="L440" s="62" t="s">
        <v>597</v>
      </c>
      <c r="M440" s="64" t="s">
        <v>676</v>
      </c>
      <c r="N440" s="32" t="s">
        <v>782</v>
      </c>
      <c r="O440" s="177"/>
      <c r="P440" s="177"/>
      <c r="Q440" s="177"/>
    </row>
    <row r="441" spans="1:17" s="72" customFormat="1" ht="128.25" x14ac:dyDescent="0.75">
      <c r="A441" s="61" t="s">
        <v>1611</v>
      </c>
      <c r="B441" s="32" t="s">
        <v>1612</v>
      </c>
      <c r="C441" s="32" t="s">
        <v>1608</v>
      </c>
      <c r="D441" s="32" t="s">
        <v>121</v>
      </c>
      <c r="E441" s="32" t="s">
        <v>58</v>
      </c>
      <c r="F441" s="32">
        <v>2.4</v>
      </c>
      <c r="G441" s="64" t="s">
        <v>530</v>
      </c>
      <c r="H441" s="62" t="s">
        <v>535</v>
      </c>
      <c r="I441" s="64" t="s">
        <v>536</v>
      </c>
      <c r="J441" s="32">
        <v>6.1</v>
      </c>
      <c r="K441" s="63" t="s">
        <v>66</v>
      </c>
      <c r="L441" s="62" t="s">
        <v>600</v>
      </c>
      <c r="M441" s="62" t="s">
        <v>659</v>
      </c>
      <c r="N441" s="32" t="s">
        <v>782</v>
      </c>
      <c r="O441" s="177"/>
      <c r="P441" s="177"/>
      <c r="Q441" s="177"/>
    </row>
    <row r="442" spans="1:17" ht="171" x14ac:dyDescent="0.75">
      <c r="A442" s="61" t="s">
        <v>1613</v>
      </c>
      <c r="B442" s="32" t="s">
        <v>1614</v>
      </c>
      <c r="C442" s="32" t="s">
        <v>1605</v>
      </c>
      <c r="D442" s="32" t="s">
        <v>121</v>
      </c>
      <c r="E442" s="32" t="s">
        <v>59</v>
      </c>
      <c r="F442" s="32">
        <v>2.4</v>
      </c>
      <c r="G442" s="64" t="s">
        <v>530</v>
      </c>
      <c r="H442" s="64" t="s">
        <v>541</v>
      </c>
      <c r="I442" s="64" t="s">
        <v>542</v>
      </c>
      <c r="J442" s="32">
        <v>2.1</v>
      </c>
      <c r="K442" s="63" t="s">
        <v>658</v>
      </c>
      <c r="L442" s="64" t="s">
        <v>493</v>
      </c>
      <c r="M442" s="64" t="s">
        <v>659</v>
      </c>
      <c r="N442" s="32" t="s">
        <v>782</v>
      </c>
      <c r="O442" s="65"/>
      <c r="P442" s="65"/>
      <c r="Q442" s="65"/>
    </row>
    <row r="443" spans="1:17" ht="128.25" x14ac:dyDescent="0.75">
      <c r="A443" s="61" t="s">
        <v>1615</v>
      </c>
      <c r="B443" s="32" t="s">
        <v>1616</v>
      </c>
      <c r="C443" s="32" t="s">
        <v>1608</v>
      </c>
      <c r="D443" s="32" t="s">
        <v>121</v>
      </c>
      <c r="E443" s="32" t="s">
        <v>59</v>
      </c>
      <c r="F443" s="32">
        <v>2.4</v>
      </c>
      <c r="G443" s="64" t="s">
        <v>530</v>
      </c>
      <c r="H443" s="64" t="s">
        <v>541</v>
      </c>
      <c r="I443" s="64" t="s">
        <v>542</v>
      </c>
      <c r="J443" s="32">
        <v>3.1</v>
      </c>
      <c r="K443" s="63" t="s">
        <v>664</v>
      </c>
      <c r="L443" s="64" t="s">
        <v>552</v>
      </c>
      <c r="M443" s="64" t="s">
        <v>659</v>
      </c>
      <c r="N443" s="32" t="s">
        <v>782</v>
      </c>
      <c r="O443" s="65"/>
      <c r="P443" s="65"/>
      <c r="Q443" s="65"/>
    </row>
    <row r="444" spans="1:17" s="72" customFormat="1" ht="128.25" x14ac:dyDescent="0.75">
      <c r="A444" s="61" t="s">
        <v>1617</v>
      </c>
      <c r="B444" s="32" t="s">
        <v>1618</v>
      </c>
      <c r="C444" s="32" t="s">
        <v>1608</v>
      </c>
      <c r="D444" s="32" t="s">
        <v>121</v>
      </c>
      <c r="E444" s="32" t="s">
        <v>58</v>
      </c>
      <c r="F444" s="32">
        <v>2.4</v>
      </c>
      <c r="G444" s="64" t="s">
        <v>530</v>
      </c>
      <c r="H444" s="64" t="s">
        <v>541</v>
      </c>
      <c r="I444" s="64" t="s">
        <v>542</v>
      </c>
      <c r="J444" s="32">
        <v>6.1</v>
      </c>
      <c r="K444" s="63" t="s">
        <v>66</v>
      </c>
      <c r="L444" s="62" t="s">
        <v>597</v>
      </c>
      <c r="M444" s="64" t="s">
        <v>676</v>
      </c>
      <c r="N444" s="32" t="s">
        <v>782</v>
      </c>
      <c r="O444" s="177"/>
      <c r="P444" s="177"/>
      <c r="Q444" s="177"/>
    </row>
    <row r="445" spans="1:17" s="72" customFormat="1" ht="128.25" x14ac:dyDescent="0.75">
      <c r="A445" s="61" t="s">
        <v>1619</v>
      </c>
      <c r="B445" s="32" t="s">
        <v>1620</v>
      </c>
      <c r="C445" s="32" t="s">
        <v>1608</v>
      </c>
      <c r="D445" s="32" t="s">
        <v>121</v>
      </c>
      <c r="E445" s="32" t="s">
        <v>58</v>
      </c>
      <c r="F445" s="32">
        <v>2.4</v>
      </c>
      <c r="G445" s="64" t="s">
        <v>530</v>
      </c>
      <c r="H445" s="64" t="s">
        <v>541</v>
      </c>
      <c r="I445" s="64" t="s">
        <v>542</v>
      </c>
      <c r="J445" s="32">
        <v>6.1</v>
      </c>
      <c r="K445" s="63" t="s">
        <v>66</v>
      </c>
      <c r="L445" s="62" t="s">
        <v>600</v>
      </c>
      <c r="M445" s="62" t="s">
        <v>659</v>
      </c>
      <c r="N445" s="32" t="s">
        <v>782</v>
      </c>
      <c r="O445" s="177"/>
      <c r="P445" s="177"/>
      <c r="Q445" s="177"/>
    </row>
    <row r="446" spans="1:17" s="72" customFormat="1" ht="114" x14ac:dyDescent="0.75">
      <c r="A446" s="61" t="s">
        <v>1621</v>
      </c>
      <c r="B446" s="32" t="s">
        <v>1622</v>
      </c>
      <c r="C446" s="32" t="s">
        <v>1623</v>
      </c>
      <c r="D446" s="32" t="s">
        <v>121</v>
      </c>
      <c r="E446" s="32" t="s">
        <v>59</v>
      </c>
      <c r="F446" s="32">
        <v>3.1</v>
      </c>
      <c r="G446" s="64" t="s">
        <v>550</v>
      </c>
      <c r="H446" s="62" t="s">
        <v>552</v>
      </c>
      <c r="I446" s="64" t="s">
        <v>553</v>
      </c>
      <c r="J446" s="32">
        <v>2.1</v>
      </c>
      <c r="K446" s="63" t="s">
        <v>658</v>
      </c>
      <c r="L446" s="64" t="s">
        <v>493</v>
      </c>
      <c r="M446" s="64" t="s">
        <v>659</v>
      </c>
      <c r="N446" s="32" t="s">
        <v>1578</v>
      </c>
      <c r="O446" s="177"/>
      <c r="P446" s="177"/>
      <c r="Q446" s="177"/>
    </row>
    <row r="447" spans="1:17" s="72" customFormat="1" ht="71.25" x14ac:dyDescent="0.75">
      <c r="A447" s="61" t="s">
        <v>1624</v>
      </c>
      <c r="B447" s="32" t="s">
        <v>1625</v>
      </c>
      <c r="C447" s="32" t="s">
        <v>1626</v>
      </c>
      <c r="D447" s="32" t="s">
        <v>121</v>
      </c>
      <c r="E447" s="32" t="s">
        <v>59</v>
      </c>
      <c r="F447" s="32">
        <v>3.1</v>
      </c>
      <c r="G447" s="64" t="s">
        <v>550</v>
      </c>
      <c r="H447" s="62" t="s">
        <v>552</v>
      </c>
      <c r="I447" s="64" t="s">
        <v>553</v>
      </c>
      <c r="J447" s="32">
        <v>3.1</v>
      </c>
      <c r="K447" s="63" t="s">
        <v>664</v>
      </c>
      <c r="L447" s="64" t="s">
        <v>552</v>
      </c>
      <c r="M447" s="64" t="s">
        <v>659</v>
      </c>
      <c r="N447" s="32" t="s">
        <v>1578</v>
      </c>
      <c r="O447" s="177"/>
      <c r="P447" s="177"/>
      <c r="Q447" s="177"/>
    </row>
    <row r="448" spans="1:17" s="72" customFormat="1" ht="114" x14ac:dyDescent="0.75">
      <c r="A448" s="61" t="s">
        <v>1627</v>
      </c>
      <c r="B448" s="32" t="s">
        <v>1628</v>
      </c>
      <c r="C448" s="32" t="s">
        <v>1623</v>
      </c>
      <c r="D448" s="32" t="s">
        <v>121</v>
      </c>
      <c r="E448" s="32" t="s">
        <v>59</v>
      </c>
      <c r="F448" s="32">
        <v>3.1</v>
      </c>
      <c r="G448" s="64" t="s">
        <v>550</v>
      </c>
      <c r="H448" s="62" t="s">
        <v>552</v>
      </c>
      <c r="I448" s="64" t="s">
        <v>553</v>
      </c>
      <c r="J448" s="32">
        <v>2.1</v>
      </c>
      <c r="K448" s="63" t="s">
        <v>658</v>
      </c>
      <c r="L448" s="64" t="s">
        <v>493</v>
      </c>
      <c r="M448" s="64" t="s">
        <v>659</v>
      </c>
      <c r="N448" s="32" t="s">
        <v>1578</v>
      </c>
      <c r="O448" s="177"/>
      <c r="P448" s="177"/>
      <c r="Q448" s="177"/>
    </row>
    <row r="449" spans="1:17" s="72" customFormat="1" ht="71.25" x14ac:dyDescent="0.75">
      <c r="A449" s="61" t="s">
        <v>1629</v>
      </c>
      <c r="B449" s="32" t="s">
        <v>1630</v>
      </c>
      <c r="C449" s="32" t="s">
        <v>1626</v>
      </c>
      <c r="D449" s="32" t="s">
        <v>121</v>
      </c>
      <c r="E449" s="32" t="s">
        <v>59</v>
      </c>
      <c r="F449" s="32">
        <v>3.1</v>
      </c>
      <c r="G449" s="64" t="s">
        <v>550</v>
      </c>
      <c r="H449" s="62" t="s">
        <v>552</v>
      </c>
      <c r="I449" s="64" t="s">
        <v>553</v>
      </c>
      <c r="J449" s="32">
        <v>3.1</v>
      </c>
      <c r="K449" s="63" t="s">
        <v>664</v>
      </c>
      <c r="L449" s="64" t="s">
        <v>552</v>
      </c>
      <c r="M449" s="64" t="s">
        <v>659</v>
      </c>
      <c r="N449" s="32" t="s">
        <v>1578</v>
      </c>
      <c r="O449" s="177"/>
      <c r="P449" s="177"/>
      <c r="Q449" s="177"/>
    </row>
    <row r="450" spans="1:17" s="72" customFormat="1" ht="71.25" x14ac:dyDescent="0.75">
      <c r="A450" s="61" t="s">
        <v>1631</v>
      </c>
      <c r="B450" s="32" t="s">
        <v>1632</v>
      </c>
      <c r="C450" s="32" t="s">
        <v>1626</v>
      </c>
      <c r="D450" s="32" t="s">
        <v>121</v>
      </c>
      <c r="E450" s="32" t="s">
        <v>58</v>
      </c>
      <c r="F450" s="32">
        <v>3.1</v>
      </c>
      <c r="G450" s="64" t="s">
        <v>550</v>
      </c>
      <c r="H450" s="62" t="s">
        <v>552</v>
      </c>
      <c r="I450" s="64" t="s">
        <v>553</v>
      </c>
      <c r="J450" s="32">
        <v>6.1</v>
      </c>
      <c r="K450" s="63" t="s">
        <v>66</v>
      </c>
      <c r="L450" s="62" t="s">
        <v>597</v>
      </c>
      <c r="M450" s="64" t="s">
        <v>676</v>
      </c>
      <c r="N450" s="32" t="s">
        <v>1578</v>
      </c>
      <c r="O450" s="177"/>
      <c r="P450" s="177"/>
      <c r="Q450" s="177"/>
    </row>
    <row r="451" spans="1:17" s="72" customFormat="1" ht="71.25" x14ac:dyDescent="0.75">
      <c r="A451" s="61" t="s">
        <v>1633</v>
      </c>
      <c r="B451" s="32" t="s">
        <v>1634</v>
      </c>
      <c r="C451" s="32" t="s">
        <v>1626</v>
      </c>
      <c r="D451" s="32" t="s">
        <v>121</v>
      </c>
      <c r="E451" s="32" t="s">
        <v>58</v>
      </c>
      <c r="F451" s="32">
        <v>3.1</v>
      </c>
      <c r="G451" s="64" t="s">
        <v>550</v>
      </c>
      <c r="H451" s="62" t="s">
        <v>552</v>
      </c>
      <c r="I451" s="64" t="s">
        <v>553</v>
      </c>
      <c r="J451" s="32">
        <v>6.1</v>
      </c>
      <c r="K451" s="63" t="s">
        <v>66</v>
      </c>
      <c r="L451" s="62" t="s">
        <v>600</v>
      </c>
      <c r="M451" s="62" t="s">
        <v>659</v>
      </c>
      <c r="N451" s="32" t="s">
        <v>1578</v>
      </c>
      <c r="O451" s="177"/>
      <c r="P451" s="177"/>
      <c r="Q451" s="177"/>
    </row>
    <row r="452" spans="1:17" s="72" customFormat="1" ht="114" x14ac:dyDescent="0.75">
      <c r="A452" s="61" t="s">
        <v>1635</v>
      </c>
      <c r="B452" s="32" t="s">
        <v>1636</v>
      </c>
      <c r="C452" s="32" t="s">
        <v>1637</v>
      </c>
      <c r="D452" s="32" t="s">
        <v>121</v>
      </c>
      <c r="E452" s="32" t="s">
        <v>59</v>
      </c>
      <c r="F452" s="32">
        <v>3.1</v>
      </c>
      <c r="G452" s="64" t="s">
        <v>550</v>
      </c>
      <c r="H452" s="62" t="s">
        <v>555</v>
      </c>
      <c r="I452" s="62" t="s">
        <v>556</v>
      </c>
      <c r="J452" s="32">
        <v>2.1</v>
      </c>
      <c r="K452" s="63" t="s">
        <v>658</v>
      </c>
      <c r="L452" s="64" t="s">
        <v>493</v>
      </c>
      <c r="M452" s="64" t="s">
        <v>659</v>
      </c>
      <c r="N452" s="32" t="s">
        <v>1537</v>
      </c>
      <c r="O452" s="177"/>
      <c r="P452" s="177"/>
      <c r="Q452" s="177"/>
    </row>
    <row r="453" spans="1:17" s="72" customFormat="1" ht="71.25" x14ac:dyDescent="0.75">
      <c r="A453" s="61" t="s">
        <v>1638</v>
      </c>
      <c r="B453" s="32" t="s">
        <v>1639</v>
      </c>
      <c r="C453" s="32" t="s">
        <v>1640</v>
      </c>
      <c r="D453" s="32" t="s">
        <v>121</v>
      </c>
      <c r="E453" s="32" t="s">
        <v>59</v>
      </c>
      <c r="F453" s="32">
        <v>3.1</v>
      </c>
      <c r="G453" s="64" t="s">
        <v>550</v>
      </c>
      <c r="H453" s="62" t="s">
        <v>555</v>
      </c>
      <c r="I453" s="62" t="s">
        <v>556</v>
      </c>
      <c r="J453" s="32">
        <v>3.1</v>
      </c>
      <c r="K453" s="63" t="s">
        <v>664</v>
      </c>
      <c r="L453" s="64" t="s">
        <v>552</v>
      </c>
      <c r="M453" s="64" t="s">
        <v>659</v>
      </c>
      <c r="N453" s="32" t="s">
        <v>1537</v>
      </c>
      <c r="O453" s="177"/>
      <c r="P453" s="177"/>
      <c r="Q453" s="177"/>
    </row>
    <row r="454" spans="1:17" s="72" customFormat="1" ht="114" x14ac:dyDescent="0.75">
      <c r="A454" s="61" t="s">
        <v>1641</v>
      </c>
      <c r="B454" s="32" t="s">
        <v>1642</v>
      </c>
      <c r="C454" s="32" t="s">
        <v>1637</v>
      </c>
      <c r="D454" s="32" t="s">
        <v>121</v>
      </c>
      <c r="E454" s="32" t="s">
        <v>59</v>
      </c>
      <c r="F454" s="32">
        <v>3.1</v>
      </c>
      <c r="G454" s="64" t="s">
        <v>550</v>
      </c>
      <c r="H454" s="62" t="s">
        <v>555</v>
      </c>
      <c r="I454" s="62" t="s">
        <v>556</v>
      </c>
      <c r="J454" s="32">
        <v>2.1</v>
      </c>
      <c r="K454" s="63" t="s">
        <v>658</v>
      </c>
      <c r="L454" s="64" t="s">
        <v>493</v>
      </c>
      <c r="M454" s="64" t="s">
        <v>659</v>
      </c>
      <c r="N454" s="32" t="s">
        <v>1537</v>
      </c>
      <c r="O454" s="177"/>
      <c r="P454" s="177"/>
      <c r="Q454" s="177"/>
    </row>
    <row r="455" spans="1:17" s="72" customFormat="1" ht="71.25" x14ac:dyDescent="0.75">
      <c r="A455" s="61" t="s">
        <v>1643</v>
      </c>
      <c r="B455" s="32" t="s">
        <v>1644</v>
      </c>
      <c r="C455" s="32" t="s">
        <v>1640</v>
      </c>
      <c r="D455" s="32" t="s">
        <v>121</v>
      </c>
      <c r="E455" s="32" t="s">
        <v>59</v>
      </c>
      <c r="F455" s="32">
        <v>3.1</v>
      </c>
      <c r="G455" s="64" t="s">
        <v>550</v>
      </c>
      <c r="H455" s="62" t="s">
        <v>555</v>
      </c>
      <c r="I455" s="62" t="s">
        <v>556</v>
      </c>
      <c r="J455" s="32">
        <v>3.1</v>
      </c>
      <c r="K455" s="63" t="s">
        <v>664</v>
      </c>
      <c r="L455" s="64" t="s">
        <v>552</v>
      </c>
      <c r="M455" s="64" t="s">
        <v>659</v>
      </c>
      <c r="N455" s="32" t="s">
        <v>1537</v>
      </c>
      <c r="O455" s="177"/>
      <c r="P455" s="177"/>
      <c r="Q455" s="177"/>
    </row>
    <row r="456" spans="1:17" s="72" customFormat="1" ht="71.25" x14ac:dyDescent="0.75">
      <c r="A456" s="61" t="s">
        <v>1645</v>
      </c>
      <c r="B456" s="32" t="s">
        <v>1646</v>
      </c>
      <c r="C456" s="32" t="s">
        <v>1640</v>
      </c>
      <c r="D456" s="32" t="s">
        <v>121</v>
      </c>
      <c r="E456" s="32" t="s">
        <v>58</v>
      </c>
      <c r="F456" s="32">
        <v>3.1</v>
      </c>
      <c r="G456" s="64" t="s">
        <v>550</v>
      </c>
      <c r="H456" s="62" t="s">
        <v>555</v>
      </c>
      <c r="I456" s="62" t="s">
        <v>556</v>
      </c>
      <c r="J456" s="32">
        <v>6.1</v>
      </c>
      <c r="K456" s="63" t="s">
        <v>66</v>
      </c>
      <c r="L456" s="62" t="s">
        <v>597</v>
      </c>
      <c r="M456" s="64" t="s">
        <v>676</v>
      </c>
      <c r="N456" s="32" t="s">
        <v>1537</v>
      </c>
      <c r="O456" s="177"/>
      <c r="P456" s="177"/>
      <c r="Q456" s="177"/>
    </row>
    <row r="457" spans="1:17" s="72" customFormat="1" ht="71.25" x14ac:dyDescent="0.75">
      <c r="A457" s="61" t="s">
        <v>1647</v>
      </c>
      <c r="B457" s="32" t="s">
        <v>1648</v>
      </c>
      <c r="C457" s="32" t="s">
        <v>1640</v>
      </c>
      <c r="D457" s="32" t="s">
        <v>121</v>
      </c>
      <c r="E457" s="32" t="s">
        <v>58</v>
      </c>
      <c r="F457" s="32">
        <v>3.1</v>
      </c>
      <c r="G457" s="64" t="s">
        <v>550</v>
      </c>
      <c r="H457" s="62" t="s">
        <v>555</v>
      </c>
      <c r="I457" s="62" t="s">
        <v>556</v>
      </c>
      <c r="J457" s="32">
        <v>6.1</v>
      </c>
      <c r="K457" s="63" t="s">
        <v>66</v>
      </c>
      <c r="L457" s="62" t="s">
        <v>600</v>
      </c>
      <c r="M457" s="62" t="s">
        <v>659</v>
      </c>
      <c r="N457" s="32" t="s">
        <v>1537</v>
      </c>
      <c r="O457" s="177"/>
      <c r="P457" s="177"/>
      <c r="Q457" s="177"/>
    </row>
    <row r="458" spans="1:17" ht="85.5" x14ac:dyDescent="0.75">
      <c r="A458" s="61" t="s">
        <v>1649</v>
      </c>
      <c r="B458" s="75" t="s">
        <v>1650</v>
      </c>
      <c r="C458" s="75" t="s">
        <v>1651</v>
      </c>
      <c r="D458" s="32" t="s">
        <v>121</v>
      </c>
      <c r="E458" s="75" t="s">
        <v>58</v>
      </c>
      <c r="F458" s="32">
        <v>2.1</v>
      </c>
      <c r="G458" s="64" t="s">
        <v>491</v>
      </c>
      <c r="H458" s="62" t="s">
        <v>493</v>
      </c>
      <c r="I458" s="62" t="s">
        <v>494</v>
      </c>
      <c r="J458" s="32">
        <v>9.1</v>
      </c>
      <c r="K458" s="73" t="s">
        <v>1028</v>
      </c>
      <c r="L458" s="62" t="s">
        <v>1511</v>
      </c>
      <c r="M458" s="62" t="s">
        <v>1030</v>
      </c>
      <c r="N458" s="32" t="s">
        <v>782</v>
      </c>
      <c r="O458" s="65"/>
      <c r="P458" s="65"/>
      <c r="Q458" s="65"/>
    </row>
    <row r="459" spans="1:17" ht="28.5" x14ac:dyDescent="0.75">
      <c r="A459" s="61" t="s">
        <v>1652</v>
      </c>
      <c r="B459" s="32" t="s">
        <v>1653</v>
      </c>
      <c r="C459" s="32" t="s">
        <v>656</v>
      </c>
      <c r="D459" s="32" t="s">
        <v>121</v>
      </c>
      <c r="E459" s="32" t="s">
        <v>59</v>
      </c>
      <c r="F459" s="62">
        <v>4.0999999999999996</v>
      </c>
      <c r="G459" s="62" t="s">
        <v>567</v>
      </c>
      <c r="H459" s="62" t="s">
        <v>581</v>
      </c>
      <c r="I459" s="62" t="s">
        <v>582</v>
      </c>
      <c r="J459" s="32">
        <v>2.1</v>
      </c>
      <c r="K459" s="63" t="s">
        <v>658</v>
      </c>
      <c r="L459" s="64" t="s">
        <v>493</v>
      </c>
      <c r="M459" s="64" t="s">
        <v>659</v>
      </c>
      <c r="N459" s="32" t="s">
        <v>782</v>
      </c>
      <c r="O459" s="65"/>
      <c r="P459" s="65"/>
      <c r="Q459" s="65"/>
    </row>
    <row r="460" spans="1:17" ht="28.5" x14ac:dyDescent="0.75">
      <c r="A460" s="61" t="s">
        <v>1654</v>
      </c>
      <c r="B460" s="32" t="s">
        <v>1655</v>
      </c>
      <c r="D460" s="32" t="s">
        <v>121</v>
      </c>
      <c r="E460" s="32" t="s">
        <v>59</v>
      </c>
      <c r="F460" s="62">
        <v>4.0999999999999996</v>
      </c>
      <c r="G460" s="62" t="s">
        <v>567</v>
      </c>
      <c r="H460" s="62" t="s">
        <v>581</v>
      </c>
      <c r="I460" s="62" t="s">
        <v>582</v>
      </c>
      <c r="J460" s="32">
        <v>3.1</v>
      </c>
      <c r="K460" s="63" t="s">
        <v>664</v>
      </c>
      <c r="L460" s="64" t="s">
        <v>552</v>
      </c>
      <c r="M460" s="64" t="s">
        <v>659</v>
      </c>
      <c r="N460" s="32" t="s">
        <v>782</v>
      </c>
      <c r="O460" s="65"/>
      <c r="P460" s="65"/>
      <c r="Q460" s="65"/>
    </row>
    <row r="461" spans="1:17" ht="28.5" x14ac:dyDescent="0.75">
      <c r="A461" s="61" t="s">
        <v>1656</v>
      </c>
      <c r="B461" s="32" t="s">
        <v>1657</v>
      </c>
      <c r="C461" s="32" t="s">
        <v>656</v>
      </c>
      <c r="D461" s="32" t="s">
        <v>121</v>
      </c>
      <c r="E461" s="32" t="s">
        <v>59</v>
      </c>
      <c r="F461" s="62">
        <v>4.0999999999999996</v>
      </c>
      <c r="G461" s="62" t="s">
        <v>567</v>
      </c>
      <c r="H461" s="62" t="s">
        <v>581</v>
      </c>
      <c r="I461" s="62" t="s">
        <v>582</v>
      </c>
      <c r="J461" s="32">
        <v>2.1</v>
      </c>
      <c r="K461" s="63" t="s">
        <v>658</v>
      </c>
      <c r="L461" s="64" t="s">
        <v>493</v>
      </c>
      <c r="M461" s="64" t="s">
        <v>659</v>
      </c>
      <c r="N461" s="32" t="s">
        <v>782</v>
      </c>
      <c r="O461" s="65"/>
      <c r="P461" s="65"/>
      <c r="Q461" s="65"/>
    </row>
    <row r="462" spans="1:17" ht="28.5" x14ac:dyDescent="0.75">
      <c r="A462" s="61" t="s">
        <v>1658</v>
      </c>
      <c r="B462" s="32" t="s">
        <v>1659</v>
      </c>
      <c r="D462" s="32" t="s">
        <v>121</v>
      </c>
      <c r="E462" s="32" t="s">
        <v>59</v>
      </c>
      <c r="F462" s="62">
        <v>4.0999999999999996</v>
      </c>
      <c r="G462" s="62" t="s">
        <v>567</v>
      </c>
      <c r="H462" s="62" t="s">
        <v>581</v>
      </c>
      <c r="I462" s="62" t="s">
        <v>582</v>
      </c>
      <c r="J462" s="32">
        <v>3.1</v>
      </c>
      <c r="K462" s="63" t="s">
        <v>664</v>
      </c>
      <c r="L462" s="64" t="s">
        <v>552</v>
      </c>
      <c r="M462" s="64" t="s">
        <v>659</v>
      </c>
      <c r="N462" s="32" t="s">
        <v>782</v>
      </c>
      <c r="O462" s="65"/>
      <c r="P462" s="65"/>
      <c r="Q462" s="65"/>
    </row>
    <row r="463" spans="1:17" ht="28.5" x14ac:dyDescent="0.75">
      <c r="A463" s="61" t="s">
        <v>1660</v>
      </c>
      <c r="B463" s="32" t="s">
        <v>1661</v>
      </c>
      <c r="D463" s="32" t="s">
        <v>121</v>
      </c>
      <c r="E463" s="32" t="s">
        <v>58</v>
      </c>
      <c r="F463" s="62">
        <v>4.0999999999999996</v>
      </c>
      <c r="G463" s="62" t="s">
        <v>567</v>
      </c>
      <c r="H463" s="62" t="s">
        <v>581</v>
      </c>
      <c r="I463" s="62" t="s">
        <v>582</v>
      </c>
      <c r="J463" s="32">
        <v>6.1</v>
      </c>
      <c r="K463" s="63" t="s">
        <v>66</v>
      </c>
      <c r="L463" s="62" t="s">
        <v>597</v>
      </c>
      <c r="M463" s="64" t="s">
        <v>676</v>
      </c>
      <c r="N463" s="32" t="s">
        <v>782</v>
      </c>
      <c r="O463" s="65"/>
      <c r="P463" s="65"/>
      <c r="Q463" s="65"/>
    </row>
    <row r="464" spans="1:17" ht="28.5" x14ac:dyDescent="0.75">
      <c r="A464" s="61" t="s">
        <v>1662</v>
      </c>
      <c r="B464" s="32" t="s">
        <v>1663</v>
      </c>
      <c r="D464" s="32" t="s">
        <v>121</v>
      </c>
      <c r="E464" s="32" t="s">
        <v>58</v>
      </c>
      <c r="F464" s="62">
        <v>4.0999999999999996</v>
      </c>
      <c r="G464" s="62" t="s">
        <v>567</v>
      </c>
      <c r="H464" s="62" t="s">
        <v>581</v>
      </c>
      <c r="I464" s="62" t="s">
        <v>582</v>
      </c>
      <c r="J464" s="32">
        <v>6.1</v>
      </c>
      <c r="K464" s="63" t="s">
        <v>66</v>
      </c>
      <c r="L464" s="62" t="s">
        <v>600</v>
      </c>
      <c r="M464" s="62" t="s">
        <v>659</v>
      </c>
      <c r="N464" s="32" t="s">
        <v>782</v>
      </c>
      <c r="O464" s="65"/>
      <c r="P464" s="65"/>
      <c r="Q464" s="65"/>
    </row>
    <row r="465" spans="1:17" ht="28.5" x14ac:dyDescent="0.75">
      <c r="A465" s="61" t="s">
        <v>1664</v>
      </c>
      <c r="B465" s="32" t="s">
        <v>1665</v>
      </c>
      <c r="D465" s="32" t="s">
        <v>121</v>
      </c>
      <c r="E465" s="32" t="s">
        <v>58</v>
      </c>
      <c r="F465" s="62">
        <v>4.0999999999999996</v>
      </c>
      <c r="G465" s="62" t="s">
        <v>567</v>
      </c>
      <c r="H465" s="62" t="s">
        <v>581</v>
      </c>
      <c r="I465" s="62" t="s">
        <v>582</v>
      </c>
      <c r="J465" s="32">
        <v>5.0999999999999996</v>
      </c>
      <c r="K465" s="63" t="s">
        <v>65</v>
      </c>
      <c r="L465" s="62" t="s">
        <v>1117</v>
      </c>
      <c r="M465" s="62" t="s">
        <v>659</v>
      </c>
      <c r="N465" s="32" t="s">
        <v>782</v>
      </c>
      <c r="O465" s="65"/>
      <c r="P465" s="65"/>
      <c r="Q465" s="65"/>
    </row>
    <row r="466" spans="1:17" ht="28.5" x14ac:dyDescent="0.75">
      <c r="A466" s="61" t="s">
        <v>1666</v>
      </c>
      <c r="B466" s="32" t="s">
        <v>1667</v>
      </c>
      <c r="D466" s="32" t="s">
        <v>121</v>
      </c>
      <c r="E466" s="32" t="s">
        <v>58</v>
      </c>
      <c r="F466" s="62">
        <v>4.0999999999999996</v>
      </c>
      <c r="G466" s="62" t="s">
        <v>567</v>
      </c>
      <c r="H466" s="62" t="s">
        <v>581</v>
      </c>
      <c r="I466" s="62" t="s">
        <v>582</v>
      </c>
      <c r="J466" s="32">
        <v>5.0999999999999996</v>
      </c>
      <c r="K466" s="63" t="s">
        <v>65</v>
      </c>
      <c r="L466" s="62" t="s">
        <v>600</v>
      </c>
      <c r="M466" s="62" t="s">
        <v>659</v>
      </c>
      <c r="N466" s="32" t="s">
        <v>782</v>
      </c>
      <c r="O466" s="65"/>
      <c r="P466" s="65"/>
      <c r="Q466" s="65"/>
    </row>
    <row r="467" spans="1:17" ht="28.5" x14ac:dyDescent="0.75">
      <c r="A467" s="61" t="s">
        <v>1668</v>
      </c>
      <c r="B467" s="32" t="s">
        <v>1669</v>
      </c>
      <c r="C467" s="32" t="s">
        <v>1670</v>
      </c>
      <c r="D467" s="32" t="s">
        <v>121</v>
      </c>
      <c r="E467" s="32" t="s">
        <v>58</v>
      </c>
      <c r="F467" s="62">
        <v>4.0999999999999996</v>
      </c>
      <c r="G467" s="62" t="s">
        <v>567</v>
      </c>
      <c r="H467" s="62" t="s">
        <v>581</v>
      </c>
      <c r="I467" s="62" t="s">
        <v>582</v>
      </c>
      <c r="J467" s="62">
        <v>9.1</v>
      </c>
      <c r="K467" s="62" t="s">
        <v>1028</v>
      </c>
      <c r="L467" s="62" t="s">
        <v>1029</v>
      </c>
      <c r="M467" s="62" t="s">
        <v>1030</v>
      </c>
      <c r="N467" s="32" t="s">
        <v>782</v>
      </c>
      <c r="O467" s="65"/>
      <c r="P467" s="65"/>
      <c r="Q467" s="65"/>
    </row>
    <row r="468" spans="1:17" ht="42.75" x14ac:dyDescent="0.75">
      <c r="A468" s="61" t="s">
        <v>1671</v>
      </c>
      <c r="B468" s="32" t="s">
        <v>944</v>
      </c>
      <c r="C468" s="32" t="s">
        <v>656</v>
      </c>
      <c r="D468" s="32" t="s">
        <v>121</v>
      </c>
      <c r="E468" s="32" t="s">
        <v>59</v>
      </c>
      <c r="F468" s="32">
        <v>3.1</v>
      </c>
      <c r="G468" s="64" t="s">
        <v>550</v>
      </c>
      <c r="H468" s="64" t="s">
        <v>555</v>
      </c>
      <c r="I468" s="64" t="s">
        <v>556</v>
      </c>
      <c r="J468" s="32">
        <v>2.1</v>
      </c>
      <c r="K468" s="63" t="s">
        <v>658</v>
      </c>
      <c r="L468" s="64" t="s">
        <v>493</v>
      </c>
      <c r="M468" s="64" t="s">
        <v>659</v>
      </c>
      <c r="N468" s="32" t="s">
        <v>767</v>
      </c>
      <c r="O468" s="65"/>
      <c r="P468" s="65"/>
      <c r="Q468" s="65"/>
    </row>
    <row r="469" spans="1:17" ht="42.75" x14ac:dyDescent="0.75">
      <c r="A469" s="61" t="s">
        <v>1672</v>
      </c>
      <c r="B469" s="32" t="s">
        <v>946</v>
      </c>
      <c r="C469" s="32" t="s">
        <v>663</v>
      </c>
      <c r="D469" s="32" t="s">
        <v>121</v>
      </c>
      <c r="E469" s="32" t="s">
        <v>59</v>
      </c>
      <c r="F469" s="32">
        <v>3.1</v>
      </c>
      <c r="G469" s="64" t="s">
        <v>550</v>
      </c>
      <c r="H469" s="64" t="s">
        <v>555</v>
      </c>
      <c r="I469" s="64" t="s">
        <v>556</v>
      </c>
      <c r="J469" s="32">
        <v>3.1</v>
      </c>
      <c r="K469" s="63" t="s">
        <v>664</v>
      </c>
      <c r="L469" s="64" t="s">
        <v>552</v>
      </c>
      <c r="M469" s="64" t="s">
        <v>659</v>
      </c>
      <c r="N469" s="32" t="s">
        <v>767</v>
      </c>
      <c r="O469" s="65"/>
      <c r="P469" s="65"/>
      <c r="Q469" s="65"/>
    </row>
    <row r="470" spans="1:17" ht="42.75" x14ac:dyDescent="0.75">
      <c r="A470" s="61" t="s">
        <v>1673</v>
      </c>
      <c r="B470" s="32" t="s">
        <v>948</v>
      </c>
      <c r="C470" s="32" t="s">
        <v>656</v>
      </c>
      <c r="D470" s="32" t="s">
        <v>121</v>
      </c>
      <c r="E470" s="32" t="s">
        <v>59</v>
      </c>
      <c r="F470" s="62">
        <v>0.1</v>
      </c>
      <c r="G470" s="62" t="s">
        <v>415</v>
      </c>
      <c r="H470" s="69" t="s">
        <v>429</v>
      </c>
      <c r="I470" s="69" t="s">
        <v>430</v>
      </c>
      <c r="J470" s="32">
        <v>2.1</v>
      </c>
      <c r="K470" s="63" t="s">
        <v>658</v>
      </c>
      <c r="L470" s="64" t="s">
        <v>493</v>
      </c>
      <c r="M470" s="64" t="s">
        <v>659</v>
      </c>
      <c r="O470" s="126"/>
      <c r="P470" s="126"/>
      <c r="Q470" s="126"/>
    </row>
    <row r="471" spans="1:17" ht="42.75" x14ac:dyDescent="0.75">
      <c r="A471" s="61" t="s">
        <v>1674</v>
      </c>
      <c r="B471" s="32" t="s">
        <v>950</v>
      </c>
      <c r="C471" s="32" t="s">
        <v>663</v>
      </c>
      <c r="D471" s="32" t="s">
        <v>121</v>
      </c>
      <c r="E471" s="32" t="s">
        <v>59</v>
      </c>
      <c r="F471" s="62">
        <v>0.1</v>
      </c>
      <c r="G471" s="62" t="s">
        <v>415</v>
      </c>
      <c r="H471" s="69" t="s">
        <v>429</v>
      </c>
      <c r="I471" s="69" t="s">
        <v>430</v>
      </c>
      <c r="J471" s="32">
        <v>3.1</v>
      </c>
      <c r="K471" s="63" t="s">
        <v>664</v>
      </c>
      <c r="L471" s="64" t="s">
        <v>552</v>
      </c>
      <c r="M471" s="64" t="s">
        <v>659</v>
      </c>
      <c r="O471" s="126"/>
      <c r="P471" s="126"/>
      <c r="Q471" s="126"/>
    </row>
    <row r="472" spans="1:17" ht="28.5" x14ac:dyDescent="0.75">
      <c r="A472" s="61" t="s">
        <v>1675</v>
      </c>
      <c r="B472" s="32" t="s">
        <v>952</v>
      </c>
      <c r="C472" s="32" t="s">
        <v>656</v>
      </c>
      <c r="D472" s="32" t="s">
        <v>121</v>
      </c>
      <c r="E472" s="32" t="s">
        <v>59</v>
      </c>
      <c r="F472" s="62">
        <v>0.1</v>
      </c>
      <c r="G472" s="62" t="s">
        <v>415</v>
      </c>
      <c r="H472" s="69" t="s">
        <v>432</v>
      </c>
      <c r="I472" s="69" t="s">
        <v>433</v>
      </c>
      <c r="J472" s="32">
        <v>2.1</v>
      </c>
      <c r="K472" s="63" t="s">
        <v>658</v>
      </c>
      <c r="L472" s="64" t="s">
        <v>493</v>
      </c>
      <c r="M472" s="64" t="s">
        <v>659</v>
      </c>
      <c r="O472" s="126"/>
      <c r="P472" s="126"/>
      <c r="Q472" s="126"/>
    </row>
    <row r="473" spans="1:17" ht="28.5" x14ac:dyDescent="0.75">
      <c r="A473" s="61" t="s">
        <v>1676</v>
      </c>
      <c r="B473" s="32" t="s">
        <v>954</v>
      </c>
      <c r="C473" s="32" t="s">
        <v>663</v>
      </c>
      <c r="D473" s="32" t="s">
        <v>121</v>
      </c>
      <c r="E473" s="32" t="s">
        <v>59</v>
      </c>
      <c r="F473" s="62">
        <v>0.1</v>
      </c>
      <c r="G473" s="62" t="s">
        <v>415</v>
      </c>
      <c r="H473" s="69" t="s">
        <v>432</v>
      </c>
      <c r="I473" s="69" t="s">
        <v>433</v>
      </c>
      <c r="J473" s="32">
        <v>3.1</v>
      </c>
      <c r="K473" s="63" t="s">
        <v>664</v>
      </c>
      <c r="L473" s="64" t="s">
        <v>552</v>
      </c>
      <c r="M473" s="64" t="s">
        <v>659</v>
      </c>
      <c r="O473" s="126"/>
      <c r="P473" s="126"/>
      <c r="Q473" s="126"/>
    </row>
    <row r="474" spans="1:17" ht="42.75" x14ac:dyDescent="0.75">
      <c r="A474" s="61" t="s">
        <v>1677</v>
      </c>
      <c r="B474" s="32" t="s">
        <v>956</v>
      </c>
      <c r="C474" s="32" t="s">
        <v>656</v>
      </c>
      <c r="D474" s="32" t="s">
        <v>121</v>
      </c>
      <c r="E474" s="32" t="s">
        <v>59</v>
      </c>
      <c r="F474" s="62">
        <v>0.1</v>
      </c>
      <c r="G474" s="62" t="s">
        <v>415</v>
      </c>
      <c r="H474" s="69" t="s">
        <v>429</v>
      </c>
      <c r="I474" s="69" t="s">
        <v>430</v>
      </c>
      <c r="J474" s="32">
        <v>2.1</v>
      </c>
      <c r="K474" s="63" t="s">
        <v>658</v>
      </c>
      <c r="L474" s="64" t="s">
        <v>493</v>
      </c>
      <c r="M474" s="64" t="s">
        <v>659</v>
      </c>
      <c r="N474" s="32" t="s">
        <v>801</v>
      </c>
      <c r="O474" s="126"/>
      <c r="P474" s="126"/>
      <c r="Q474" s="126"/>
    </row>
    <row r="475" spans="1:17" ht="42.75" x14ac:dyDescent="0.75">
      <c r="A475" s="61" t="s">
        <v>1678</v>
      </c>
      <c r="B475" s="32" t="s">
        <v>958</v>
      </c>
      <c r="C475" s="32" t="s">
        <v>663</v>
      </c>
      <c r="D475" s="32" t="s">
        <v>121</v>
      </c>
      <c r="E475" s="32" t="s">
        <v>59</v>
      </c>
      <c r="F475" s="62">
        <v>0.1</v>
      </c>
      <c r="G475" s="62" t="s">
        <v>415</v>
      </c>
      <c r="H475" s="69" t="s">
        <v>429</v>
      </c>
      <c r="I475" s="69" t="s">
        <v>430</v>
      </c>
      <c r="J475" s="32">
        <v>3.1</v>
      </c>
      <c r="K475" s="63" t="s">
        <v>664</v>
      </c>
      <c r="L475" s="64" t="s">
        <v>552</v>
      </c>
      <c r="M475" s="64" t="s">
        <v>659</v>
      </c>
      <c r="N475" s="32" t="s">
        <v>801</v>
      </c>
      <c r="O475" s="126"/>
      <c r="P475" s="126"/>
      <c r="Q475" s="126"/>
    </row>
    <row r="476" spans="1:17" ht="28.5" x14ac:dyDescent="0.75">
      <c r="A476" s="61" t="s">
        <v>1679</v>
      </c>
      <c r="B476" s="32" t="s">
        <v>1680</v>
      </c>
      <c r="C476" s="32" t="s">
        <v>656</v>
      </c>
      <c r="D476" s="32" t="s">
        <v>129</v>
      </c>
      <c r="E476" s="32" t="s">
        <v>59</v>
      </c>
      <c r="F476" s="62">
        <v>3.1</v>
      </c>
      <c r="G476" s="62" t="s">
        <v>550</v>
      </c>
      <c r="H476" s="69" t="s">
        <v>561</v>
      </c>
      <c r="I476" s="69" t="s">
        <v>562</v>
      </c>
      <c r="J476" s="32">
        <v>2.1</v>
      </c>
      <c r="K476" s="63" t="s">
        <v>658</v>
      </c>
      <c r="L476" s="64" t="s">
        <v>493</v>
      </c>
      <c r="M476" s="64" t="s">
        <v>659</v>
      </c>
      <c r="N476" s="32" t="s">
        <v>1537</v>
      </c>
      <c r="O476" s="126"/>
      <c r="P476" s="126"/>
      <c r="Q476" s="126"/>
    </row>
    <row r="477" spans="1:17" ht="28.5" x14ac:dyDescent="0.75">
      <c r="A477" s="61" t="s">
        <v>1681</v>
      </c>
      <c r="B477" s="32" t="s">
        <v>1682</v>
      </c>
      <c r="C477" s="32" t="s">
        <v>663</v>
      </c>
      <c r="D477" s="32" t="s">
        <v>129</v>
      </c>
      <c r="E477" s="32" t="s">
        <v>59</v>
      </c>
      <c r="F477" s="62">
        <v>3.1</v>
      </c>
      <c r="G477" s="62" t="s">
        <v>550</v>
      </c>
      <c r="H477" s="69" t="s">
        <v>561</v>
      </c>
      <c r="I477" s="69" t="s">
        <v>562</v>
      </c>
      <c r="J477" s="32">
        <v>3.1</v>
      </c>
      <c r="K477" s="63" t="s">
        <v>664</v>
      </c>
      <c r="L477" s="64" t="s">
        <v>552</v>
      </c>
      <c r="M477" s="64" t="s">
        <v>659</v>
      </c>
      <c r="N477" s="32" t="s">
        <v>1537</v>
      </c>
      <c r="O477" s="126"/>
      <c r="P477" s="126"/>
      <c r="Q477" s="126"/>
    </row>
    <row r="478" spans="1:17" ht="42.75" x14ac:dyDescent="0.75">
      <c r="A478" s="61" t="s">
        <v>1683</v>
      </c>
      <c r="B478" s="32" t="s">
        <v>1684</v>
      </c>
      <c r="C478" s="32" t="s">
        <v>656</v>
      </c>
      <c r="D478" s="32" t="s">
        <v>129</v>
      </c>
      <c r="E478" s="32" t="s">
        <v>59</v>
      </c>
      <c r="F478" s="62">
        <v>3.1</v>
      </c>
      <c r="G478" s="62" t="s">
        <v>550</v>
      </c>
      <c r="H478" s="69" t="s">
        <v>564</v>
      </c>
      <c r="I478" s="69" t="s">
        <v>565</v>
      </c>
      <c r="J478" s="32">
        <v>2.1</v>
      </c>
      <c r="K478" s="63" t="s">
        <v>658</v>
      </c>
      <c r="L478" s="64" t="s">
        <v>493</v>
      </c>
      <c r="M478" s="64" t="s">
        <v>659</v>
      </c>
      <c r="N478" s="32" t="s">
        <v>1537</v>
      </c>
      <c r="O478" s="126"/>
      <c r="P478" s="126"/>
      <c r="Q478" s="126"/>
    </row>
    <row r="479" spans="1:17" ht="28.5" x14ac:dyDescent="0.75">
      <c r="A479" s="61" t="s">
        <v>1685</v>
      </c>
      <c r="B479" s="32" t="s">
        <v>1686</v>
      </c>
      <c r="C479" s="32" t="s">
        <v>663</v>
      </c>
      <c r="D479" s="32" t="s">
        <v>129</v>
      </c>
      <c r="E479" s="32" t="s">
        <v>59</v>
      </c>
      <c r="F479" s="62">
        <v>3.1</v>
      </c>
      <c r="G479" s="62" t="s">
        <v>550</v>
      </c>
      <c r="H479" s="69" t="s">
        <v>564</v>
      </c>
      <c r="I479" s="69" t="s">
        <v>565</v>
      </c>
      <c r="J479" s="32">
        <v>3.1</v>
      </c>
      <c r="K479" s="63" t="s">
        <v>664</v>
      </c>
      <c r="L479" s="64" t="s">
        <v>552</v>
      </c>
      <c r="M479" s="64" t="s">
        <v>659</v>
      </c>
      <c r="N479" s="32" t="s">
        <v>1537</v>
      </c>
      <c r="O479" s="126"/>
      <c r="P479" s="126"/>
      <c r="Q479" s="126"/>
    </row>
    <row r="480" spans="1:17" ht="42.75" x14ac:dyDescent="0.75">
      <c r="A480" s="61" t="s">
        <v>1687</v>
      </c>
      <c r="B480" s="32" t="s">
        <v>1688</v>
      </c>
      <c r="C480" s="32" t="s">
        <v>656</v>
      </c>
      <c r="D480" s="32" t="s">
        <v>129</v>
      </c>
      <c r="E480" s="32" t="s">
        <v>59</v>
      </c>
      <c r="F480" s="62">
        <v>3.1</v>
      </c>
      <c r="G480" s="62" t="s">
        <v>550</v>
      </c>
      <c r="H480" s="69" t="s">
        <v>564</v>
      </c>
      <c r="I480" s="69" t="s">
        <v>565</v>
      </c>
      <c r="J480" s="32">
        <v>2.1</v>
      </c>
      <c r="K480" s="63" t="s">
        <v>658</v>
      </c>
      <c r="L480" s="64" t="s">
        <v>493</v>
      </c>
      <c r="M480" s="64" t="s">
        <v>659</v>
      </c>
      <c r="N480" s="32" t="s">
        <v>1537</v>
      </c>
      <c r="O480" s="126"/>
      <c r="P480" s="126"/>
      <c r="Q480" s="126"/>
    </row>
    <row r="481" spans="1:14" ht="42.75" x14ac:dyDescent="0.75">
      <c r="A481" s="61" t="s">
        <v>1689</v>
      </c>
      <c r="B481" s="32" t="s">
        <v>1690</v>
      </c>
      <c r="C481" s="32" t="s">
        <v>663</v>
      </c>
      <c r="D481" s="32" t="s">
        <v>129</v>
      </c>
      <c r="E481" s="32" t="s">
        <v>59</v>
      </c>
      <c r="F481" s="62">
        <v>3.1</v>
      </c>
      <c r="G481" s="62" t="s">
        <v>550</v>
      </c>
      <c r="H481" s="69" t="s">
        <v>564</v>
      </c>
      <c r="I481" s="69" t="s">
        <v>565</v>
      </c>
      <c r="J481" s="32">
        <v>3.1</v>
      </c>
      <c r="K481" s="63" t="s">
        <v>664</v>
      </c>
      <c r="L481" s="64" t="s">
        <v>552</v>
      </c>
      <c r="M481" s="64" t="s">
        <v>659</v>
      </c>
      <c r="N481" s="32" t="s">
        <v>1537</v>
      </c>
    </row>
    <row r="482" spans="1:14" ht="42.75" x14ac:dyDescent="0.75">
      <c r="A482" s="61" t="s">
        <v>1691</v>
      </c>
      <c r="B482" s="32" t="s">
        <v>1692</v>
      </c>
      <c r="C482" s="32" t="s">
        <v>663</v>
      </c>
      <c r="D482" s="32" t="s">
        <v>129</v>
      </c>
      <c r="E482" s="32" t="s">
        <v>58</v>
      </c>
      <c r="F482" s="62">
        <v>3.1</v>
      </c>
      <c r="G482" s="62" t="s">
        <v>550</v>
      </c>
      <c r="H482" s="69" t="s">
        <v>564</v>
      </c>
      <c r="I482" s="69" t="s">
        <v>565</v>
      </c>
      <c r="J482" s="32">
        <v>6.1</v>
      </c>
      <c r="K482" s="63" t="s">
        <v>66</v>
      </c>
      <c r="L482" s="62" t="s">
        <v>597</v>
      </c>
      <c r="M482" s="64" t="s">
        <v>676</v>
      </c>
      <c r="N482" s="32" t="s">
        <v>1537</v>
      </c>
    </row>
    <row r="483" spans="1:14" ht="42.75" x14ac:dyDescent="0.75">
      <c r="A483" s="61" t="s">
        <v>1693</v>
      </c>
      <c r="B483" s="32" t="s">
        <v>1694</v>
      </c>
      <c r="C483" s="32" t="s">
        <v>663</v>
      </c>
      <c r="D483" s="32" t="s">
        <v>129</v>
      </c>
      <c r="E483" s="32" t="s">
        <v>58</v>
      </c>
      <c r="F483" s="62">
        <v>3.1</v>
      </c>
      <c r="G483" s="62" t="s">
        <v>550</v>
      </c>
      <c r="H483" s="69" t="s">
        <v>564</v>
      </c>
      <c r="I483" s="69" t="s">
        <v>565</v>
      </c>
      <c r="J483" s="32">
        <v>6.1</v>
      </c>
      <c r="K483" s="63" t="s">
        <v>66</v>
      </c>
      <c r="L483" s="62" t="s">
        <v>600</v>
      </c>
      <c r="M483" s="62" t="s">
        <v>659</v>
      </c>
      <c r="N483" s="32" t="s">
        <v>1537</v>
      </c>
    </row>
    <row r="484" spans="1:14" ht="28.5" x14ac:dyDescent="0.75">
      <c r="A484" s="61" t="s">
        <v>1695</v>
      </c>
      <c r="B484" s="32" t="s">
        <v>1696</v>
      </c>
      <c r="C484" s="32" t="s">
        <v>663</v>
      </c>
      <c r="D484" s="32" t="s">
        <v>129</v>
      </c>
      <c r="E484" s="32" t="s">
        <v>58</v>
      </c>
      <c r="F484" s="62">
        <v>3.1</v>
      </c>
      <c r="G484" s="62" t="s">
        <v>550</v>
      </c>
      <c r="H484" s="69" t="s">
        <v>564</v>
      </c>
      <c r="I484" s="69" t="s">
        <v>565</v>
      </c>
      <c r="J484" s="32">
        <v>6.1</v>
      </c>
      <c r="K484" s="63" t="s">
        <v>66</v>
      </c>
      <c r="L484" s="62" t="s">
        <v>597</v>
      </c>
      <c r="M484" s="64" t="s">
        <v>676</v>
      </c>
      <c r="N484" s="32" t="s">
        <v>1537</v>
      </c>
    </row>
    <row r="485" spans="1:14" ht="114" x14ac:dyDescent="0.75">
      <c r="A485" s="61" t="s">
        <v>1697</v>
      </c>
      <c r="B485" s="32" t="s">
        <v>1698</v>
      </c>
      <c r="C485" s="32" t="s">
        <v>1699</v>
      </c>
      <c r="D485" s="32" t="s">
        <v>129</v>
      </c>
      <c r="E485" s="32" t="s">
        <v>59</v>
      </c>
      <c r="F485" s="62">
        <v>3.1</v>
      </c>
      <c r="G485" s="62" t="s">
        <v>550</v>
      </c>
      <c r="H485" s="69" t="s">
        <v>564</v>
      </c>
      <c r="I485" s="69" t="s">
        <v>565</v>
      </c>
      <c r="J485" s="32">
        <v>2.1</v>
      </c>
      <c r="K485" s="63" t="s">
        <v>658</v>
      </c>
      <c r="L485" s="64" t="s">
        <v>493</v>
      </c>
      <c r="M485" s="64" t="s">
        <v>659</v>
      </c>
      <c r="N485" s="32" t="s">
        <v>1537</v>
      </c>
    </row>
    <row r="486" spans="1:14" ht="71.25" x14ac:dyDescent="0.75">
      <c r="A486" s="61" t="s">
        <v>1700</v>
      </c>
      <c r="B486" s="32" t="s">
        <v>1701</v>
      </c>
      <c r="C486" s="32" t="s">
        <v>1702</v>
      </c>
      <c r="D486" s="32" t="s">
        <v>129</v>
      </c>
      <c r="E486" s="32" t="s">
        <v>59</v>
      </c>
      <c r="F486" s="62">
        <v>3.1</v>
      </c>
      <c r="G486" s="62" t="s">
        <v>550</v>
      </c>
      <c r="H486" s="69" t="s">
        <v>564</v>
      </c>
      <c r="I486" s="69" t="s">
        <v>565</v>
      </c>
      <c r="J486" s="32">
        <v>3.1</v>
      </c>
      <c r="K486" s="63" t="s">
        <v>664</v>
      </c>
      <c r="L486" s="64" t="s">
        <v>552</v>
      </c>
      <c r="M486" s="64" t="s">
        <v>659</v>
      </c>
      <c r="N486" s="32" t="s">
        <v>1537</v>
      </c>
    </row>
    <row r="487" spans="1:14" ht="114" x14ac:dyDescent="0.75">
      <c r="A487" s="61" t="s">
        <v>1703</v>
      </c>
      <c r="B487" s="32" t="s">
        <v>1704</v>
      </c>
      <c r="C487" s="32" t="s">
        <v>1699</v>
      </c>
      <c r="D487" s="32" t="s">
        <v>129</v>
      </c>
      <c r="E487" s="32" t="s">
        <v>59</v>
      </c>
      <c r="F487" s="62">
        <v>3.1</v>
      </c>
      <c r="G487" s="62" t="s">
        <v>550</v>
      </c>
      <c r="H487" s="69" t="s">
        <v>564</v>
      </c>
      <c r="I487" s="69" t="s">
        <v>565</v>
      </c>
      <c r="J487" s="32">
        <v>2.1</v>
      </c>
      <c r="K487" s="63" t="s">
        <v>658</v>
      </c>
      <c r="L487" s="64" t="s">
        <v>493</v>
      </c>
      <c r="M487" s="64" t="s">
        <v>659</v>
      </c>
      <c r="N487" s="32" t="s">
        <v>1537</v>
      </c>
    </row>
    <row r="488" spans="1:14" ht="71.25" x14ac:dyDescent="0.75">
      <c r="A488" s="61" t="s">
        <v>1705</v>
      </c>
      <c r="B488" s="32" t="s">
        <v>1706</v>
      </c>
      <c r="C488" s="32" t="s">
        <v>1702</v>
      </c>
      <c r="D488" s="32" t="s">
        <v>129</v>
      </c>
      <c r="E488" s="32" t="s">
        <v>59</v>
      </c>
      <c r="F488" s="62">
        <v>3.1</v>
      </c>
      <c r="G488" s="62" t="s">
        <v>550</v>
      </c>
      <c r="H488" s="69" t="s">
        <v>564</v>
      </c>
      <c r="I488" s="69" t="s">
        <v>565</v>
      </c>
      <c r="J488" s="32">
        <v>3.1</v>
      </c>
      <c r="K488" s="63" t="s">
        <v>664</v>
      </c>
      <c r="L488" s="64" t="s">
        <v>552</v>
      </c>
      <c r="M488" s="64" t="s">
        <v>659</v>
      </c>
      <c r="N488" s="32" t="s">
        <v>1537</v>
      </c>
    </row>
    <row r="489" spans="1:14" ht="71.25" x14ac:dyDescent="0.75">
      <c r="A489" s="61" t="s">
        <v>1707</v>
      </c>
      <c r="B489" s="32" t="s">
        <v>1708</v>
      </c>
      <c r="C489" s="32" t="s">
        <v>1702</v>
      </c>
      <c r="D489" s="32" t="s">
        <v>129</v>
      </c>
      <c r="E489" s="32" t="s">
        <v>58</v>
      </c>
      <c r="F489" s="62">
        <v>3.1</v>
      </c>
      <c r="G489" s="62" t="s">
        <v>550</v>
      </c>
      <c r="H489" s="69" t="s">
        <v>564</v>
      </c>
      <c r="I489" s="69" t="s">
        <v>565</v>
      </c>
      <c r="J489" s="32">
        <v>6.1</v>
      </c>
      <c r="K489" s="63" t="s">
        <v>66</v>
      </c>
      <c r="L489" s="62" t="s">
        <v>597</v>
      </c>
      <c r="M489" s="64" t="s">
        <v>676</v>
      </c>
      <c r="N489" s="32" t="s">
        <v>1537</v>
      </c>
    </row>
    <row r="490" spans="1:14" ht="71.25" x14ac:dyDescent="0.75">
      <c r="A490" s="61" t="s">
        <v>1709</v>
      </c>
      <c r="B490" s="32" t="s">
        <v>1710</v>
      </c>
      <c r="C490" s="32" t="s">
        <v>1702</v>
      </c>
      <c r="D490" s="32" t="s">
        <v>129</v>
      </c>
      <c r="E490" s="32" t="s">
        <v>58</v>
      </c>
      <c r="F490" s="62">
        <v>3.1</v>
      </c>
      <c r="G490" s="62" t="s">
        <v>550</v>
      </c>
      <c r="H490" s="69" t="s">
        <v>564</v>
      </c>
      <c r="I490" s="69" t="s">
        <v>565</v>
      </c>
      <c r="J490" s="32">
        <v>6.1</v>
      </c>
      <c r="K490" s="63" t="s">
        <v>66</v>
      </c>
      <c r="L490" s="62" t="s">
        <v>600</v>
      </c>
      <c r="M490" s="62" t="s">
        <v>659</v>
      </c>
      <c r="N490" s="32" t="s">
        <v>1537</v>
      </c>
    </row>
    <row r="491" spans="1:14" ht="42.75" x14ac:dyDescent="0.75">
      <c r="A491" s="61" t="s">
        <v>1711</v>
      </c>
      <c r="B491" s="32" t="s">
        <v>1712</v>
      </c>
      <c r="C491" s="32" t="s">
        <v>1713</v>
      </c>
      <c r="D491" s="32" t="s">
        <v>129</v>
      </c>
      <c r="E491" s="32" t="s">
        <v>58</v>
      </c>
      <c r="F491" s="62">
        <v>3.1</v>
      </c>
      <c r="G491" s="62" t="s">
        <v>550</v>
      </c>
      <c r="H491" s="69" t="s">
        <v>564</v>
      </c>
      <c r="I491" s="69" t="s">
        <v>565</v>
      </c>
      <c r="J491" s="32">
        <v>6.1</v>
      </c>
      <c r="K491" s="63" t="s">
        <v>66</v>
      </c>
      <c r="L491" s="62" t="s">
        <v>597</v>
      </c>
      <c r="M491" s="64" t="s">
        <v>676</v>
      </c>
      <c r="N491" s="32" t="s">
        <v>1537</v>
      </c>
    </row>
    <row r="492" spans="1:14" ht="28.5" x14ac:dyDescent="0.75">
      <c r="A492" s="61" t="s">
        <v>1714</v>
      </c>
      <c r="B492" s="32" t="s">
        <v>1715</v>
      </c>
      <c r="C492" s="32" t="s">
        <v>656</v>
      </c>
      <c r="D492" s="32" t="s">
        <v>129</v>
      </c>
      <c r="E492" s="32" t="s">
        <v>59</v>
      </c>
      <c r="F492" s="62">
        <v>3.1</v>
      </c>
      <c r="G492" s="62" t="s">
        <v>550</v>
      </c>
      <c r="H492" s="69" t="s">
        <v>561</v>
      </c>
      <c r="I492" s="69" t="s">
        <v>562</v>
      </c>
      <c r="J492" s="32">
        <v>2.1</v>
      </c>
      <c r="K492" s="63" t="s">
        <v>658</v>
      </c>
      <c r="L492" s="64" t="s">
        <v>493</v>
      </c>
      <c r="M492" s="64" t="s">
        <v>659</v>
      </c>
      <c r="N492" s="32" t="s">
        <v>699</v>
      </c>
    </row>
    <row r="493" spans="1:14" ht="28.5" x14ac:dyDescent="0.75">
      <c r="A493" s="61" t="s">
        <v>1716</v>
      </c>
      <c r="B493" s="32" t="s">
        <v>1717</v>
      </c>
      <c r="C493" s="32" t="s">
        <v>663</v>
      </c>
      <c r="D493" s="32" t="s">
        <v>129</v>
      </c>
      <c r="E493" s="32" t="s">
        <v>59</v>
      </c>
      <c r="F493" s="62">
        <v>3.1</v>
      </c>
      <c r="G493" s="62" t="s">
        <v>550</v>
      </c>
      <c r="H493" s="69" t="s">
        <v>561</v>
      </c>
      <c r="I493" s="69" t="s">
        <v>562</v>
      </c>
      <c r="J493" s="32">
        <v>3.1</v>
      </c>
      <c r="K493" s="63" t="s">
        <v>664</v>
      </c>
      <c r="L493" s="64" t="s">
        <v>552</v>
      </c>
      <c r="M493" s="64" t="s">
        <v>659</v>
      </c>
      <c r="N493" s="32" t="s">
        <v>699</v>
      </c>
    </row>
    <row r="494" spans="1:14" ht="28.5" x14ac:dyDescent="0.75">
      <c r="A494" s="61" t="s">
        <v>1718</v>
      </c>
      <c r="B494" s="32" t="s">
        <v>1719</v>
      </c>
      <c r="C494" s="32" t="s">
        <v>656</v>
      </c>
      <c r="D494" s="32" t="s">
        <v>129</v>
      </c>
      <c r="E494" s="32" t="s">
        <v>59</v>
      </c>
      <c r="F494" s="62">
        <v>3.1</v>
      </c>
      <c r="G494" s="62" t="s">
        <v>550</v>
      </c>
      <c r="H494" s="69" t="s">
        <v>561</v>
      </c>
      <c r="I494" s="69" t="s">
        <v>562</v>
      </c>
      <c r="J494" s="32">
        <v>2.1</v>
      </c>
      <c r="K494" s="63" t="s">
        <v>658</v>
      </c>
      <c r="L494" s="64" t="s">
        <v>493</v>
      </c>
      <c r="M494" s="64" t="s">
        <v>659</v>
      </c>
      <c r="N494" s="32" t="s">
        <v>1537</v>
      </c>
    </row>
    <row r="495" spans="1:14" ht="28.5" x14ac:dyDescent="0.75">
      <c r="A495" s="61" t="s">
        <v>1720</v>
      </c>
      <c r="B495" s="32" t="s">
        <v>1721</v>
      </c>
      <c r="C495" s="32" t="s">
        <v>663</v>
      </c>
      <c r="D495" s="32" t="s">
        <v>129</v>
      </c>
      <c r="E495" s="32" t="s">
        <v>59</v>
      </c>
      <c r="F495" s="62">
        <v>3.1</v>
      </c>
      <c r="G495" s="62" t="s">
        <v>550</v>
      </c>
      <c r="H495" s="69" t="s">
        <v>561</v>
      </c>
      <c r="I495" s="69" t="s">
        <v>562</v>
      </c>
      <c r="J495" s="32">
        <v>3.1</v>
      </c>
      <c r="K495" s="63" t="s">
        <v>664</v>
      </c>
      <c r="L495" s="64" t="s">
        <v>552</v>
      </c>
      <c r="M495" s="64" t="s">
        <v>659</v>
      </c>
      <c r="N495" s="32" t="s">
        <v>1537</v>
      </c>
    </row>
    <row r="496" spans="1:14" ht="28.5" x14ac:dyDescent="0.75">
      <c r="A496" s="61" t="s">
        <v>1722</v>
      </c>
      <c r="B496" s="32" t="s">
        <v>1723</v>
      </c>
      <c r="C496" s="32" t="s">
        <v>656</v>
      </c>
      <c r="D496" s="32" t="s">
        <v>129</v>
      </c>
      <c r="E496" s="32" t="s">
        <v>59</v>
      </c>
      <c r="F496" s="62">
        <v>3.1</v>
      </c>
      <c r="G496" s="62" t="s">
        <v>550</v>
      </c>
      <c r="H496" s="69" t="s">
        <v>561</v>
      </c>
      <c r="I496" s="69" t="s">
        <v>562</v>
      </c>
      <c r="J496" s="32">
        <v>2.1</v>
      </c>
      <c r="K496" s="63" t="s">
        <v>658</v>
      </c>
      <c r="L496" s="64" t="s">
        <v>493</v>
      </c>
      <c r="M496" s="64" t="s">
        <v>659</v>
      </c>
      <c r="N496" s="32" t="s">
        <v>1537</v>
      </c>
    </row>
    <row r="497" spans="1:14" ht="28.5" x14ac:dyDescent="0.75">
      <c r="A497" s="61" t="s">
        <v>1724</v>
      </c>
      <c r="B497" s="32" t="s">
        <v>1725</v>
      </c>
      <c r="C497" s="32" t="s">
        <v>663</v>
      </c>
      <c r="D497" s="32" t="s">
        <v>129</v>
      </c>
      <c r="E497" s="32" t="s">
        <v>59</v>
      </c>
      <c r="F497" s="62">
        <v>3.1</v>
      </c>
      <c r="G497" s="62" t="s">
        <v>550</v>
      </c>
      <c r="H497" s="69" t="s">
        <v>561</v>
      </c>
      <c r="I497" s="69" t="s">
        <v>562</v>
      </c>
      <c r="J497" s="32">
        <v>3.1</v>
      </c>
      <c r="K497" s="63" t="s">
        <v>664</v>
      </c>
      <c r="L497" s="64" t="s">
        <v>552</v>
      </c>
      <c r="M497" s="64" t="s">
        <v>659</v>
      </c>
      <c r="N497" s="32" t="s">
        <v>1537</v>
      </c>
    </row>
    <row r="498" spans="1:14" ht="42.75" x14ac:dyDescent="0.75">
      <c r="A498" s="61" t="s">
        <v>1726</v>
      </c>
      <c r="B498" s="32" t="s">
        <v>1727</v>
      </c>
      <c r="C498" s="32" t="s">
        <v>656</v>
      </c>
      <c r="D498" s="32" t="s">
        <v>129</v>
      </c>
      <c r="E498" s="32" t="s">
        <v>59</v>
      </c>
      <c r="F498" s="62">
        <v>3.1</v>
      </c>
      <c r="G498" s="62" t="s">
        <v>550</v>
      </c>
      <c r="H498" s="69" t="s">
        <v>561</v>
      </c>
      <c r="I498" s="69" t="s">
        <v>562</v>
      </c>
      <c r="J498" s="32">
        <v>2.1</v>
      </c>
      <c r="K498" s="63" t="s">
        <v>658</v>
      </c>
      <c r="L498" s="64" t="s">
        <v>493</v>
      </c>
      <c r="M498" s="64" t="s">
        <v>659</v>
      </c>
      <c r="N498" s="32" t="s">
        <v>1537</v>
      </c>
    </row>
    <row r="499" spans="1:14" ht="42.75" x14ac:dyDescent="0.75">
      <c r="A499" s="61" t="s">
        <v>1728</v>
      </c>
      <c r="B499" s="32" t="s">
        <v>1729</v>
      </c>
      <c r="C499" s="32" t="s">
        <v>663</v>
      </c>
      <c r="D499" s="32" t="s">
        <v>129</v>
      </c>
      <c r="E499" s="32" t="s">
        <v>59</v>
      </c>
      <c r="F499" s="62">
        <v>3.1</v>
      </c>
      <c r="G499" s="62" t="s">
        <v>550</v>
      </c>
      <c r="H499" s="69" t="s">
        <v>561</v>
      </c>
      <c r="I499" s="69" t="s">
        <v>562</v>
      </c>
      <c r="J499" s="32">
        <v>3.1</v>
      </c>
      <c r="K499" s="63" t="s">
        <v>664</v>
      </c>
      <c r="L499" s="64" t="s">
        <v>552</v>
      </c>
      <c r="M499" s="64" t="s">
        <v>659</v>
      </c>
      <c r="N499" s="32" t="s">
        <v>1537</v>
      </c>
    </row>
    <row r="500" spans="1:14" ht="28.5" x14ac:dyDescent="0.75">
      <c r="A500" s="61" t="s">
        <v>1730</v>
      </c>
      <c r="B500" s="32" t="s">
        <v>1731</v>
      </c>
      <c r="C500" s="32" t="s">
        <v>663</v>
      </c>
      <c r="D500" s="32" t="s">
        <v>129</v>
      </c>
      <c r="E500" s="32" t="s">
        <v>58</v>
      </c>
      <c r="F500" s="62">
        <v>3.1</v>
      </c>
      <c r="G500" s="62" t="s">
        <v>550</v>
      </c>
      <c r="H500" s="69" t="s">
        <v>561</v>
      </c>
      <c r="I500" s="69" t="s">
        <v>562</v>
      </c>
      <c r="J500" s="32">
        <v>6.1</v>
      </c>
      <c r="K500" s="63" t="s">
        <v>66</v>
      </c>
      <c r="L500" s="62" t="s">
        <v>597</v>
      </c>
      <c r="M500" s="64" t="s">
        <v>676</v>
      </c>
      <c r="N500" s="32" t="s">
        <v>1537</v>
      </c>
    </row>
    <row r="501" spans="1:14" ht="42.75" x14ac:dyDescent="0.75">
      <c r="A501" s="61" t="s">
        <v>1732</v>
      </c>
      <c r="B501" s="32" t="s">
        <v>1733</v>
      </c>
      <c r="C501" s="32" t="s">
        <v>663</v>
      </c>
      <c r="D501" s="32" t="s">
        <v>129</v>
      </c>
      <c r="E501" s="32" t="s">
        <v>58</v>
      </c>
      <c r="F501" s="62">
        <v>3.1</v>
      </c>
      <c r="G501" s="62" t="s">
        <v>550</v>
      </c>
      <c r="H501" s="69" t="s">
        <v>561</v>
      </c>
      <c r="I501" s="69" t="s">
        <v>562</v>
      </c>
      <c r="J501" s="32">
        <v>6.1</v>
      </c>
      <c r="K501" s="63" t="s">
        <v>66</v>
      </c>
      <c r="L501" s="62" t="s">
        <v>600</v>
      </c>
      <c r="M501" s="62" t="s">
        <v>659</v>
      </c>
      <c r="N501" s="32" t="s">
        <v>1537</v>
      </c>
    </row>
    <row r="502" spans="1:14" ht="28.5" x14ac:dyDescent="0.75">
      <c r="A502" s="61" t="s">
        <v>1734</v>
      </c>
      <c r="B502" s="32" t="s">
        <v>1735</v>
      </c>
      <c r="C502" s="32" t="s">
        <v>656</v>
      </c>
      <c r="D502" s="32" t="s">
        <v>129</v>
      </c>
      <c r="E502" s="32" t="s">
        <v>59</v>
      </c>
      <c r="F502" s="62">
        <v>2.2000000000000002</v>
      </c>
      <c r="G502" s="62" t="s">
        <v>511</v>
      </c>
      <c r="H502" s="62" t="s">
        <v>513</v>
      </c>
      <c r="I502" s="62" t="s">
        <v>514</v>
      </c>
      <c r="J502" s="32">
        <v>2.1</v>
      </c>
      <c r="K502" s="63" t="s">
        <v>658</v>
      </c>
      <c r="L502" s="64" t="s">
        <v>493</v>
      </c>
      <c r="M502" s="64" t="s">
        <v>659</v>
      </c>
      <c r="N502" s="32" t="s">
        <v>782</v>
      </c>
    </row>
    <row r="503" spans="1:14" ht="28.5" x14ac:dyDescent="0.75">
      <c r="A503" s="61" t="s">
        <v>1736</v>
      </c>
      <c r="B503" s="32" t="s">
        <v>1737</v>
      </c>
      <c r="C503" s="32" t="s">
        <v>663</v>
      </c>
      <c r="D503" s="32" t="s">
        <v>129</v>
      </c>
      <c r="E503" s="32" t="s">
        <v>59</v>
      </c>
      <c r="F503" s="62">
        <v>2.2000000000000002</v>
      </c>
      <c r="G503" s="62" t="s">
        <v>511</v>
      </c>
      <c r="H503" s="62" t="s">
        <v>513</v>
      </c>
      <c r="I503" s="62" t="s">
        <v>514</v>
      </c>
      <c r="J503" s="32">
        <v>3.1</v>
      </c>
      <c r="K503" s="63" t="s">
        <v>664</v>
      </c>
      <c r="L503" s="64" t="s">
        <v>552</v>
      </c>
      <c r="M503" s="64" t="s">
        <v>659</v>
      </c>
      <c r="N503" s="32" t="s">
        <v>782</v>
      </c>
    </row>
    <row r="504" spans="1:14" ht="28.5" x14ac:dyDescent="0.75">
      <c r="A504" s="61" t="s">
        <v>1738</v>
      </c>
      <c r="B504" s="32" t="s">
        <v>1739</v>
      </c>
      <c r="C504" s="32" t="s">
        <v>656</v>
      </c>
      <c r="D504" s="32" t="s">
        <v>129</v>
      </c>
      <c r="E504" s="32" t="s">
        <v>59</v>
      </c>
      <c r="F504" s="62">
        <v>2.2000000000000002</v>
      </c>
      <c r="G504" s="62" t="s">
        <v>511</v>
      </c>
      <c r="H504" s="62" t="s">
        <v>513</v>
      </c>
      <c r="I504" s="62" t="s">
        <v>514</v>
      </c>
      <c r="J504" s="32">
        <v>2.1</v>
      </c>
      <c r="K504" s="63" t="s">
        <v>658</v>
      </c>
      <c r="L504" s="64" t="s">
        <v>493</v>
      </c>
      <c r="M504" s="64" t="s">
        <v>659</v>
      </c>
      <c r="N504" s="32" t="s">
        <v>782</v>
      </c>
    </row>
    <row r="505" spans="1:14" ht="28.5" x14ac:dyDescent="0.75">
      <c r="A505" s="61" t="s">
        <v>1740</v>
      </c>
      <c r="B505" s="32" t="s">
        <v>1741</v>
      </c>
      <c r="C505" s="32" t="s">
        <v>663</v>
      </c>
      <c r="D505" s="32" t="s">
        <v>129</v>
      </c>
      <c r="E505" s="32" t="s">
        <v>59</v>
      </c>
      <c r="F505" s="62">
        <v>2.2000000000000002</v>
      </c>
      <c r="G505" s="62" t="s">
        <v>511</v>
      </c>
      <c r="H505" s="62" t="s">
        <v>513</v>
      </c>
      <c r="I505" s="62" t="s">
        <v>514</v>
      </c>
      <c r="J505" s="32">
        <v>3.1</v>
      </c>
      <c r="K505" s="63" t="s">
        <v>664</v>
      </c>
      <c r="L505" s="64" t="s">
        <v>552</v>
      </c>
      <c r="M505" s="64" t="s">
        <v>659</v>
      </c>
      <c r="N505" s="32" t="s">
        <v>782</v>
      </c>
    </row>
    <row r="506" spans="1:14" ht="28.5" x14ac:dyDescent="0.75">
      <c r="A506" s="61" t="s">
        <v>1742</v>
      </c>
      <c r="B506" s="32" t="s">
        <v>1743</v>
      </c>
      <c r="C506" s="32" t="s">
        <v>663</v>
      </c>
      <c r="D506" s="32" t="s">
        <v>129</v>
      </c>
      <c r="E506" s="32" t="s">
        <v>58</v>
      </c>
      <c r="F506" s="62">
        <v>2.2000000000000002</v>
      </c>
      <c r="G506" s="62" t="s">
        <v>511</v>
      </c>
      <c r="H506" s="62" t="s">
        <v>513</v>
      </c>
      <c r="I506" s="62" t="s">
        <v>514</v>
      </c>
      <c r="J506" s="32">
        <v>6.1</v>
      </c>
      <c r="K506" s="63" t="s">
        <v>66</v>
      </c>
      <c r="L506" s="62" t="s">
        <v>597</v>
      </c>
      <c r="M506" s="64" t="s">
        <v>676</v>
      </c>
      <c r="N506" s="32" t="s">
        <v>782</v>
      </c>
    </row>
    <row r="507" spans="1:14" ht="28.5" x14ac:dyDescent="0.75">
      <c r="A507" s="61" t="s">
        <v>1744</v>
      </c>
      <c r="B507" s="32" t="s">
        <v>1745</v>
      </c>
      <c r="C507" s="32" t="s">
        <v>663</v>
      </c>
      <c r="D507" s="32" t="s">
        <v>129</v>
      </c>
      <c r="E507" s="32" t="s">
        <v>58</v>
      </c>
      <c r="F507" s="62">
        <v>2.2000000000000002</v>
      </c>
      <c r="G507" s="62" t="s">
        <v>511</v>
      </c>
      <c r="H507" s="62" t="s">
        <v>513</v>
      </c>
      <c r="I507" s="62" t="s">
        <v>514</v>
      </c>
      <c r="J507" s="32">
        <v>6.1</v>
      </c>
      <c r="K507" s="63" t="s">
        <v>66</v>
      </c>
      <c r="L507" s="62" t="s">
        <v>600</v>
      </c>
      <c r="M507" s="62" t="s">
        <v>659</v>
      </c>
      <c r="N507" s="32" t="s">
        <v>782</v>
      </c>
    </row>
    <row r="508" spans="1:14" ht="28.5" x14ac:dyDescent="0.75">
      <c r="A508" s="61" t="s">
        <v>1746</v>
      </c>
      <c r="B508" s="32" t="s">
        <v>1747</v>
      </c>
      <c r="C508" s="32" t="s">
        <v>656</v>
      </c>
      <c r="D508" s="32" t="s">
        <v>129</v>
      </c>
      <c r="E508" s="32" t="s">
        <v>59</v>
      </c>
      <c r="F508" s="32">
        <v>2.4</v>
      </c>
      <c r="G508" s="64" t="s">
        <v>530</v>
      </c>
      <c r="H508" s="62" t="s">
        <v>532</v>
      </c>
      <c r="I508" s="62" t="s">
        <v>533</v>
      </c>
      <c r="J508" s="32">
        <v>2.1</v>
      </c>
      <c r="K508" s="63" t="s">
        <v>658</v>
      </c>
      <c r="L508" s="64" t="s">
        <v>493</v>
      </c>
      <c r="M508" s="64" t="s">
        <v>659</v>
      </c>
      <c r="N508" s="32" t="s">
        <v>782</v>
      </c>
    </row>
    <row r="509" spans="1:14" ht="28.5" x14ac:dyDescent="0.75">
      <c r="A509" s="61" t="s">
        <v>1748</v>
      </c>
      <c r="B509" s="32" t="s">
        <v>1749</v>
      </c>
      <c r="C509" s="32" t="s">
        <v>663</v>
      </c>
      <c r="D509" s="32" t="s">
        <v>129</v>
      </c>
      <c r="E509" s="32" t="s">
        <v>59</v>
      </c>
      <c r="F509" s="32">
        <v>2.4</v>
      </c>
      <c r="G509" s="64" t="s">
        <v>530</v>
      </c>
      <c r="H509" s="62" t="s">
        <v>532</v>
      </c>
      <c r="I509" s="62" t="s">
        <v>533</v>
      </c>
      <c r="J509" s="32">
        <v>3.1</v>
      </c>
      <c r="K509" s="63" t="s">
        <v>664</v>
      </c>
      <c r="L509" s="64" t="s">
        <v>552</v>
      </c>
      <c r="M509" s="64" t="s">
        <v>659</v>
      </c>
      <c r="N509" s="32" t="s">
        <v>782</v>
      </c>
    </row>
    <row r="510" spans="1:14" ht="42.75" x14ac:dyDescent="0.75">
      <c r="A510" s="61" t="s">
        <v>1750</v>
      </c>
      <c r="B510" s="32" t="s">
        <v>1751</v>
      </c>
      <c r="C510" s="32" t="s">
        <v>656</v>
      </c>
      <c r="D510" s="32" t="s">
        <v>129</v>
      </c>
      <c r="E510" s="32" t="s">
        <v>59</v>
      </c>
      <c r="F510" s="32">
        <v>2.4</v>
      </c>
      <c r="G510" s="64" t="s">
        <v>530</v>
      </c>
      <c r="H510" s="62" t="s">
        <v>532</v>
      </c>
      <c r="I510" s="62" t="s">
        <v>533</v>
      </c>
      <c r="J510" s="32">
        <v>2.1</v>
      </c>
      <c r="K510" s="63" t="s">
        <v>658</v>
      </c>
      <c r="L510" s="64" t="s">
        <v>493</v>
      </c>
      <c r="M510" s="64" t="s">
        <v>659</v>
      </c>
      <c r="N510" s="32" t="s">
        <v>782</v>
      </c>
    </row>
    <row r="511" spans="1:14" ht="42.75" x14ac:dyDescent="0.75">
      <c r="A511" s="61" t="s">
        <v>1752</v>
      </c>
      <c r="B511" s="32" t="s">
        <v>1753</v>
      </c>
      <c r="C511" s="32" t="s">
        <v>663</v>
      </c>
      <c r="D511" s="32" t="s">
        <v>129</v>
      </c>
      <c r="E511" s="32" t="s">
        <v>59</v>
      </c>
      <c r="F511" s="32">
        <v>2.4</v>
      </c>
      <c r="G511" s="64" t="s">
        <v>530</v>
      </c>
      <c r="H511" s="62" t="s">
        <v>532</v>
      </c>
      <c r="I511" s="62" t="s">
        <v>533</v>
      </c>
      <c r="J511" s="32">
        <v>3.1</v>
      </c>
      <c r="K511" s="63" t="s">
        <v>664</v>
      </c>
      <c r="L511" s="64" t="s">
        <v>552</v>
      </c>
      <c r="M511" s="64" t="s">
        <v>659</v>
      </c>
      <c r="N511" s="32" t="s">
        <v>782</v>
      </c>
    </row>
    <row r="512" spans="1:14" ht="42.75" x14ac:dyDescent="0.75">
      <c r="A512" s="61" t="s">
        <v>1754</v>
      </c>
      <c r="B512" s="32" t="s">
        <v>1755</v>
      </c>
      <c r="C512" s="32" t="s">
        <v>656</v>
      </c>
      <c r="D512" s="32" t="s">
        <v>129</v>
      </c>
      <c r="E512" s="32" t="s">
        <v>59</v>
      </c>
      <c r="F512" s="32">
        <v>2.4</v>
      </c>
      <c r="G512" s="64" t="s">
        <v>530</v>
      </c>
      <c r="H512" s="62" t="s">
        <v>538</v>
      </c>
      <c r="I512" s="62" t="s">
        <v>539</v>
      </c>
      <c r="J512" s="32">
        <v>2.1</v>
      </c>
      <c r="K512" s="63" t="s">
        <v>658</v>
      </c>
      <c r="L512" s="64" t="s">
        <v>493</v>
      </c>
      <c r="M512" s="64" t="s">
        <v>659</v>
      </c>
      <c r="N512" s="32" t="s">
        <v>782</v>
      </c>
    </row>
    <row r="513" spans="1:14" ht="42.75" x14ac:dyDescent="0.75">
      <c r="A513" s="61" t="s">
        <v>1756</v>
      </c>
      <c r="B513" s="32" t="s">
        <v>1757</v>
      </c>
      <c r="C513" s="32" t="s">
        <v>663</v>
      </c>
      <c r="D513" s="32" t="s">
        <v>129</v>
      </c>
      <c r="E513" s="32" t="s">
        <v>59</v>
      </c>
      <c r="F513" s="32">
        <v>2.4</v>
      </c>
      <c r="G513" s="64" t="s">
        <v>530</v>
      </c>
      <c r="H513" s="62" t="s">
        <v>538</v>
      </c>
      <c r="I513" s="62" t="s">
        <v>539</v>
      </c>
      <c r="J513" s="32">
        <v>3.1</v>
      </c>
      <c r="K513" s="63" t="s">
        <v>664</v>
      </c>
      <c r="L513" s="64" t="s">
        <v>552</v>
      </c>
      <c r="M513" s="64" t="s">
        <v>659</v>
      </c>
      <c r="N513" s="32" t="s">
        <v>782</v>
      </c>
    </row>
    <row r="514" spans="1:14" ht="99.75" x14ac:dyDescent="0.75">
      <c r="A514" s="61" t="s">
        <v>1758</v>
      </c>
      <c r="B514" s="32" t="s">
        <v>1759</v>
      </c>
      <c r="C514" s="32" t="s">
        <v>1760</v>
      </c>
      <c r="D514" s="32" t="s">
        <v>129</v>
      </c>
      <c r="E514" s="32" t="s">
        <v>58</v>
      </c>
      <c r="F514" s="32">
        <v>2.4</v>
      </c>
      <c r="G514" s="64" t="s">
        <v>530</v>
      </c>
      <c r="H514" s="62" t="s">
        <v>532</v>
      </c>
      <c r="I514" s="62" t="s">
        <v>533</v>
      </c>
      <c r="J514" s="32">
        <v>6.1</v>
      </c>
      <c r="K514" s="63" t="s">
        <v>66</v>
      </c>
      <c r="L514" s="62" t="s">
        <v>597</v>
      </c>
      <c r="M514" s="64" t="s">
        <v>676</v>
      </c>
      <c r="N514" s="32" t="s">
        <v>782</v>
      </c>
    </row>
    <row r="515" spans="1:14" ht="28.5" x14ac:dyDescent="0.75">
      <c r="A515" s="61" t="s">
        <v>1761</v>
      </c>
      <c r="B515" s="32" t="s">
        <v>1762</v>
      </c>
      <c r="C515" s="32" t="s">
        <v>663</v>
      </c>
      <c r="D515" s="32" t="s">
        <v>129</v>
      </c>
      <c r="E515" s="32" t="s">
        <v>58</v>
      </c>
      <c r="F515" s="32">
        <v>2.4</v>
      </c>
      <c r="G515" s="64" t="s">
        <v>530</v>
      </c>
      <c r="H515" s="62" t="s">
        <v>532</v>
      </c>
      <c r="I515" s="62" t="s">
        <v>533</v>
      </c>
      <c r="J515" s="32">
        <v>6.1</v>
      </c>
      <c r="K515" s="63" t="s">
        <v>66</v>
      </c>
      <c r="L515" s="62" t="s">
        <v>597</v>
      </c>
      <c r="M515" s="64" t="s">
        <v>676</v>
      </c>
      <c r="N515" s="32" t="s">
        <v>782</v>
      </c>
    </row>
    <row r="516" spans="1:14" ht="42.75" x14ac:dyDescent="0.75">
      <c r="A516" s="61" t="s">
        <v>1763</v>
      </c>
      <c r="B516" s="32" t="s">
        <v>1764</v>
      </c>
      <c r="C516" s="32" t="s">
        <v>1765</v>
      </c>
      <c r="D516" s="32" t="s">
        <v>129</v>
      </c>
      <c r="E516" s="32" t="s">
        <v>58</v>
      </c>
      <c r="F516" s="32">
        <v>2.4</v>
      </c>
      <c r="G516" s="64" t="s">
        <v>530</v>
      </c>
      <c r="H516" s="62" t="s">
        <v>532</v>
      </c>
      <c r="I516" s="62" t="s">
        <v>533</v>
      </c>
      <c r="J516" s="32">
        <v>6.1</v>
      </c>
      <c r="K516" s="63" t="s">
        <v>66</v>
      </c>
      <c r="L516" s="62" t="s">
        <v>597</v>
      </c>
      <c r="M516" s="64" t="s">
        <v>676</v>
      </c>
      <c r="N516" s="32" t="s">
        <v>782</v>
      </c>
    </row>
    <row r="517" spans="1:14" s="72" customFormat="1" ht="28.5" x14ac:dyDescent="0.75">
      <c r="A517" s="61" t="s">
        <v>1766</v>
      </c>
      <c r="B517" s="32" t="s">
        <v>1767</v>
      </c>
      <c r="C517" s="32" t="s">
        <v>663</v>
      </c>
      <c r="D517" s="32" t="s">
        <v>129</v>
      </c>
      <c r="E517" s="32" t="s">
        <v>58</v>
      </c>
      <c r="F517" s="32">
        <v>2.4</v>
      </c>
      <c r="G517" s="64" t="s">
        <v>530</v>
      </c>
      <c r="H517" s="62" t="s">
        <v>532</v>
      </c>
      <c r="I517" s="62" t="s">
        <v>533</v>
      </c>
      <c r="J517" s="32">
        <v>6.1</v>
      </c>
      <c r="K517" s="64" t="s">
        <v>66</v>
      </c>
      <c r="L517" s="62" t="s">
        <v>600</v>
      </c>
      <c r="M517" s="62" t="s">
        <v>659</v>
      </c>
      <c r="N517" s="32" t="s">
        <v>782</v>
      </c>
    </row>
    <row r="518" spans="1:14" ht="99.75" x14ac:dyDescent="0.75">
      <c r="A518" s="61" t="s">
        <v>1768</v>
      </c>
      <c r="B518" s="32" t="s">
        <v>1769</v>
      </c>
      <c r="C518" s="32" t="s">
        <v>1770</v>
      </c>
      <c r="D518" s="32" t="s">
        <v>129</v>
      </c>
      <c r="E518" s="32" t="s">
        <v>58</v>
      </c>
      <c r="F518" s="32">
        <v>2.4</v>
      </c>
      <c r="G518" s="64" t="s">
        <v>530</v>
      </c>
      <c r="H518" s="62" t="s">
        <v>532</v>
      </c>
      <c r="I518" s="62" t="s">
        <v>533</v>
      </c>
      <c r="J518" s="32">
        <v>6.1</v>
      </c>
      <c r="K518" s="63" t="s">
        <v>66</v>
      </c>
      <c r="L518" s="62" t="s">
        <v>597</v>
      </c>
      <c r="M518" s="64" t="s">
        <v>676</v>
      </c>
      <c r="N518" s="32" t="s">
        <v>782</v>
      </c>
    </row>
    <row r="519" spans="1:14" ht="28.5" x14ac:dyDescent="0.75">
      <c r="A519" s="61" t="s">
        <v>1771</v>
      </c>
      <c r="B519" s="32" t="s">
        <v>1772</v>
      </c>
      <c r="C519" s="32" t="s">
        <v>663</v>
      </c>
      <c r="D519" s="32" t="s">
        <v>129</v>
      </c>
      <c r="E519" s="32" t="s">
        <v>58</v>
      </c>
      <c r="F519" s="32">
        <v>2.4</v>
      </c>
      <c r="G519" s="64" t="s">
        <v>530</v>
      </c>
      <c r="H519" s="62" t="s">
        <v>532</v>
      </c>
      <c r="I519" s="62" t="s">
        <v>533</v>
      </c>
      <c r="J519" s="32">
        <v>6.1</v>
      </c>
      <c r="K519" s="63" t="s">
        <v>66</v>
      </c>
      <c r="L519" s="62" t="s">
        <v>597</v>
      </c>
      <c r="M519" s="64" t="s">
        <v>676</v>
      </c>
      <c r="N519" s="32" t="s">
        <v>782</v>
      </c>
    </row>
    <row r="520" spans="1:14" ht="42.75" x14ac:dyDescent="0.75">
      <c r="A520" s="61" t="s">
        <v>1773</v>
      </c>
      <c r="B520" s="32" t="s">
        <v>1774</v>
      </c>
      <c r="C520" s="32" t="s">
        <v>1765</v>
      </c>
      <c r="D520" s="32" t="s">
        <v>129</v>
      </c>
      <c r="E520" s="32" t="s">
        <v>58</v>
      </c>
      <c r="F520" s="32">
        <v>2.4</v>
      </c>
      <c r="G520" s="64" t="s">
        <v>530</v>
      </c>
      <c r="H520" s="62" t="s">
        <v>532</v>
      </c>
      <c r="I520" s="62" t="s">
        <v>533</v>
      </c>
      <c r="J520" s="32">
        <v>6.1</v>
      </c>
      <c r="K520" s="63" t="s">
        <v>66</v>
      </c>
      <c r="L520" s="62" t="s">
        <v>597</v>
      </c>
      <c r="M520" s="64" t="s">
        <v>676</v>
      </c>
      <c r="N520" s="32" t="s">
        <v>782</v>
      </c>
    </row>
    <row r="521" spans="1:14" s="72" customFormat="1" ht="28.5" x14ac:dyDescent="0.75">
      <c r="A521" s="61" t="s">
        <v>1775</v>
      </c>
      <c r="B521" s="32" t="s">
        <v>1776</v>
      </c>
      <c r="C521" s="32" t="s">
        <v>663</v>
      </c>
      <c r="D521" s="32" t="s">
        <v>129</v>
      </c>
      <c r="E521" s="32" t="s">
        <v>58</v>
      </c>
      <c r="F521" s="32">
        <v>2.4</v>
      </c>
      <c r="G521" s="64" t="s">
        <v>530</v>
      </c>
      <c r="H521" s="62" t="s">
        <v>532</v>
      </c>
      <c r="I521" s="62" t="s">
        <v>533</v>
      </c>
      <c r="J521" s="32">
        <v>6.1</v>
      </c>
      <c r="K521" s="64" t="s">
        <v>66</v>
      </c>
      <c r="L521" s="62" t="s">
        <v>600</v>
      </c>
      <c r="M521" s="62" t="s">
        <v>659</v>
      </c>
      <c r="N521" s="32" t="s">
        <v>782</v>
      </c>
    </row>
    <row r="522" spans="1:14" s="72" customFormat="1" ht="28.5" x14ac:dyDescent="0.75">
      <c r="A522" s="61" t="s">
        <v>1777</v>
      </c>
      <c r="B522" s="32" t="s">
        <v>1778</v>
      </c>
      <c r="C522" s="32" t="s">
        <v>663</v>
      </c>
      <c r="D522" s="32" t="s">
        <v>129</v>
      </c>
      <c r="E522" s="32" t="s">
        <v>58</v>
      </c>
      <c r="F522" s="32">
        <v>2.1</v>
      </c>
      <c r="G522" s="64" t="s">
        <v>491</v>
      </c>
      <c r="H522" s="62" t="s">
        <v>493</v>
      </c>
      <c r="I522" s="62" t="s">
        <v>494</v>
      </c>
      <c r="J522" s="32">
        <v>5.0999999999999996</v>
      </c>
      <c r="K522" s="64" t="s">
        <v>65</v>
      </c>
      <c r="L522" s="62" t="s">
        <v>1117</v>
      </c>
      <c r="M522" s="62" t="s">
        <v>659</v>
      </c>
      <c r="N522" s="32" t="s">
        <v>782</v>
      </c>
    </row>
    <row r="523" spans="1:14" s="72" customFormat="1" ht="28.5" x14ac:dyDescent="0.75">
      <c r="A523" s="61" t="s">
        <v>1779</v>
      </c>
      <c r="B523" s="32" t="s">
        <v>1780</v>
      </c>
      <c r="C523" s="32" t="s">
        <v>663</v>
      </c>
      <c r="D523" s="32" t="s">
        <v>129</v>
      </c>
      <c r="E523" s="32" t="s">
        <v>58</v>
      </c>
      <c r="F523" s="32">
        <v>2.1</v>
      </c>
      <c r="G523" s="64" t="s">
        <v>491</v>
      </c>
      <c r="H523" s="62" t="s">
        <v>493</v>
      </c>
      <c r="I523" s="62" t="s">
        <v>494</v>
      </c>
      <c r="J523" s="32">
        <v>5.0999999999999996</v>
      </c>
      <c r="K523" s="64" t="s">
        <v>65</v>
      </c>
      <c r="L523" s="62" t="s">
        <v>1120</v>
      </c>
      <c r="M523" s="62" t="s">
        <v>659</v>
      </c>
      <c r="N523" s="32" t="s">
        <v>782</v>
      </c>
    </row>
    <row r="524" spans="1:14" ht="28.5" x14ac:dyDescent="0.75">
      <c r="A524" s="61" t="s">
        <v>1781</v>
      </c>
      <c r="B524" s="32" t="s">
        <v>1782</v>
      </c>
      <c r="C524" s="32" t="s">
        <v>656</v>
      </c>
      <c r="D524" s="32" t="s">
        <v>129</v>
      </c>
      <c r="E524" s="32" t="s">
        <v>59</v>
      </c>
      <c r="F524" s="32">
        <v>2.4</v>
      </c>
      <c r="G524" s="64" t="s">
        <v>530</v>
      </c>
      <c r="H524" s="62" t="s">
        <v>535</v>
      </c>
      <c r="I524" s="62" t="s">
        <v>536</v>
      </c>
      <c r="J524" s="32">
        <v>2.1</v>
      </c>
      <c r="K524" s="63" t="s">
        <v>658</v>
      </c>
      <c r="L524" s="64" t="s">
        <v>493</v>
      </c>
      <c r="M524" s="64" t="s">
        <v>659</v>
      </c>
      <c r="N524" s="32" t="s">
        <v>1537</v>
      </c>
    </row>
    <row r="525" spans="1:14" ht="28.5" x14ac:dyDescent="0.75">
      <c r="A525" s="61" t="s">
        <v>1783</v>
      </c>
      <c r="B525" s="32" t="s">
        <v>1784</v>
      </c>
      <c r="C525" s="32" t="s">
        <v>663</v>
      </c>
      <c r="D525" s="32" t="s">
        <v>129</v>
      </c>
      <c r="E525" s="32" t="s">
        <v>59</v>
      </c>
      <c r="F525" s="32">
        <v>2.4</v>
      </c>
      <c r="G525" s="64" t="s">
        <v>530</v>
      </c>
      <c r="H525" s="62" t="s">
        <v>535</v>
      </c>
      <c r="I525" s="62" t="s">
        <v>536</v>
      </c>
      <c r="J525" s="32">
        <v>3.1</v>
      </c>
      <c r="K525" s="63" t="s">
        <v>664</v>
      </c>
      <c r="L525" s="64" t="s">
        <v>552</v>
      </c>
      <c r="M525" s="64" t="s">
        <v>659</v>
      </c>
      <c r="N525" s="32" t="s">
        <v>1537</v>
      </c>
    </row>
    <row r="526" spans="1:14" ht="28.5" x14ac:dyDescent="0.75">
      <c r="A526" s="61" t="s">
        <v>1785</v>
      </c>
      <c r="B526" s="32" t="s">
        <v>1786</v>
      </c>
      <c r="C526" s="32" t="s">
        <v>656</v>
      </c>
      <c r="D526" s="32" t="s">
        <v>129</v>
      </c>
      <c r="E526" s="32" t="s">
        <v>59</v>
      </c>
      <c r="F526" s="32">
        <v>2.4</v>
      </c>
      <c r="G526" s="64" t="s">
        <v>530</v>
      </c>
      <c r="H526" s="62" t="s">
        <v>535</v>
      </c>
      <c r="I526" s="62" t="s">
        <v>536</v>
      </c>
      <c r="J526" s="32">
        <v>2.1</v>
      </c>
      <c r="K526" s="63" t="s">
        <v>658</v>
      </c>
      <c r="L526" s="64" t="s">
        <v>493</v>
      </c>
      <c r="M526" s="64" t="s">
        <v>659</v>
      </c>
      <c r="N526" s="32" t="s">
        <v>1537</v>
      </c>
    </row>
    <row r="527" spans="1:14" ht="28.5" x14ac:dyDescent="0.75">
      <c r="A527" s="61" t="s">
        <v>1787</v>
      </c>
      <c r="B527" s="32" t="s">
        <v>1788</v>
      </c>
      <c r="C527" s="32" t="s">
        <v>663</v>
      </c>
      <c r="D527" s="32" t="s">
        <v>129</v>
      </c>
      <c r="E527" s="32" t="s">
        <v>59</v>
      </c>
      <c r="F527" s="32">
        <v>2.4</v>
      </c>
      <c r="G527" s="64" t="s">
        <v>530</v>
      </c>
      <c r="H527" s="62" t="s">
        <v>535</v>
      </c>
      <c r="I527" s="62" t="s">
        <v>536</v>
      </c>
      <c r="J527" s="32">
        <v>3.1</v>
      </c>
      <c r="K527" s="63" t="s">
        <v>664</v>
      </c>
      <c r="L527" s="64" t="s">
        <v>552</v>
      </c>
      <c r="M527" s="64" t="s">
        <v>659</v>
      </c>
      <c r="N527" s="32" t="s">
        <v>1537</v>
      </c>
    </row>
    <row r="528" spans="1:14" ht="28.5" x14ac:dyDescent="0.75">
      <c r="A528" s="61" t="s">
        <v>1789</v>
      </c>
      <c r="B528" s="32" t="s">
        <v>1790</v>
      </c>
      <c r="C528" s="32" t="s">
        <v>663</v>
      </c>
      <c r="D528" s="32" t="s">
        <v>129</v>
      </c>
      <c r="E528" s="32" t="s">
        <v>58</v>
      </c>
      <c r="F528" s="32">
        <v>2.4</v>
      </c>
      <c r="G528" s="64" t="s">
        <v>530</v>
      </c>
      <c r="H528" s="62" t="s">
        <v>535</v>
      </c>
      <c r="I528" s="62" t="s">
        <v>536</v>
      </c>
      <c r="J528" s="32">
        <v>6.1</v>
      </c>
      <c r="K528" s="63" t="s">
        <v>66</v>
      </c>
      <c r="L528" s="62" t="s">
        <v>597</v>
      </c>
      <c r="M528" s="64" t="s">
        <v>676</v>
      </c>
      <c r="N528" s="32" t="s">
        <v>1537</v>
      </c>
    </row>
    <row r="529" spans="1:14" ht="28.5" x14ac:dyDescent="0.75">
      <c r="A529" s="61" t="s">
        <v>1791</v>
      </c>
      <c r="B529" s="32" t="s">
        <v>1792</v>
      </c>
      <c r="C529" s="32" t="s">
        <v>663</v>
      </c>
      <c r="D529" s="32" t="s">
        <v>129</v>
      </c>
      <c r="E529" s="32" t="s">
        <v>58</v>
      </c>
      <c r="F529" s="32">
        <v>2.4</v>
      </c>
      <c r="G529" s="64" t="s">
        <v>530</v>
      </c>
      <c r="H529" s="62" t="s">
        <v>535</v>
      </c>
      <c r="I529" s="62" t="s">
        <v>536</v>
      </c>
      <c r="J529" s="32">
        <v>6.1</v>
      </c>
      <c r="K529" s="63" t="s">
        <v>66</v>
      </c>
      <c r="L529" s="62" t="s">
        <v>600</v>
      </c>
      <c r="M529" s="62" t="s">
        <v>659</v>
      </c>
      <c r="N529" s="32" t="s">
        <v>1537</v>
      </c>
    </row>
    <row r="530" spans="1:14" ht="28.5" x14ac:dyDescent="0.75">
      <c r="A530" s="61" t="s">
        <v>1793</v>
      </c>
      <c r="B530" s="32" t="s">
        <v>944</v>
      </c>
      <c r="C530" s="32" t="s">
        <v>656</v>
      </c>
      <c r="D530" s="32" t="s">
        <v>129</v>
      </c>
      <c r="E530" s="32" t="s">
        <v>59</v>
      </c>
      <c r="F530" s="62">
        <v>3.1</v>
      </c>
      <c r="G530" s="62" t="s">
        <v>550</v>
      </c>
      <c r="H530" s="69" t="s">
        <v>561</v>
      </c>
      <c r="I530" s="69" t="s">
        <v>562</v>
      </c>
      <c r="J530" s="32">
        <v>2.1</v>
      </c>
      <c r="K530" s="63" t="s">
        <v>658</v>
      </c>
      <c r="L530" s="64" t="s">
        <v>493</v>
      </c>
      <c r="M530" s="64" t="s">
        <v>659</v>
      </c>
      <c r="N530" s="32" t="s">
        <v>767</v>
      </c>
    </row>
    <row r="531" spans="1:14" ht="28.5" x14ac:dyDescent="0.75">
      <c r="A531" s="61" t="s">
        <v>1794</v>
      </c>
      <c r="B531" s="32" t="s">
        <v>946</v>
      </c>
      <c r="C531" s="32" t="s">
        <v>663</v>
      </c>
      <c r="D531" s="32" t="s">
        <v>129</v>
      </c>
      <c r="E531" s="32" t="s">
        <v>59</v>
      </c>
      <c r="F531" s="62">
        <v>3.1</v>
      </c>
      <c r="G531" s="62" t="s">
        <v>550</v>
      </c>
      <c r="H531" s="69" t="s">
        <v>561</v>
      </c>
      <c r="I531" s="69" t="s">
        <v>562</v>
      </c>
      <c r="J531" s="32">
        <v>3.1</v>
      </c>
      <c r="K531" s="63" t="s">
        <v>664</v>
      </c>
      <c r="L531" s="64" t="s">
        <v>552</v>
      </c>
      <c r="M531" s="64" t="s">
        <v>659</v>
      </c>
      <c r="N531" s="32" t="s">
        <v>767</v>
      </c>
    </row>
    <row r="532" spans="1:14" ht="42.75" x14ac:dyDescent="0.75">
      <c r="A532" s="61" t="s">
        <v>1795</v>
      </c>
      <c r="B532" s="32" t="s">
        <v>948</v>
      </c>
      <c r="C532" s="32" t="s">
        <v>656</v>
      </c>
      <c r="D532" s="32" t="s">
        <v>129</v>
      </c>
      <c r="E532" s="32" t="s">
        <v>59</v>
      </c>
      <c r="F532" s="62">
        <v>0.1</v>
      </c>
      <c r="G532" s="62" t="s">
        <v>415</v>
      </c>
      <c r="H532" s="69" t="s">
        <v>429</v>
      </c>
      <c r="I532" s="69" t="s">
        <v>430</v>
      </c>
      <c r="J532" s="32">
        <v>2.1</v>
      </c>
      <c r="K532" s="63" t="s">
        <v>658</v>
      </c>
      <c r="L532" s="64" t="s">
        <v>493</v>
      </c>
      <c r="M532" s="64" t="s">
        <v>659</v>
      </c>
    </row>
    <row r="533" spans="1:14" ht="42.75" x14ac:dyDescent="0.75">
      <c r="A533" s="61" t="s">
        <v>1796</v>
      </c>
      <c r="B533" s="32" t="s">
        <v>950</v>
      </c>
      <c r="C533" s="32" t="s">
        <v>663</v>
      </c>
      <c r="D533" s="32" t="s">
        <v>129</v>
      </c>
      <c r="E533" s="32" t="s">
        <v>59</v>
      </c>
      <c r="F533" s="62">
        <v>0.1</v>
      </c>
      <c r="G533" s="62" t="s">
        <v>415</v>
      </c>
      <c r="H533" s="69" t="s">
        <v>429</v>
      </c>
      <c r="I533" s="69" t="s">
        <v>430</v>
      </c>
      <c r="J533" s="32">
        <v>3.1</v>
      </c>
      <c r="K533" s="63" t="s">
        <v>664</v>
      </c>
      <c r="L533" s="64" t="s">
        <v>552</v>
      </c>
      <c r="M533" s="64" t="s">
        <v>659</v>
      </c>
    </row>
    <row r="534" spans="1:14" ht="28.5" x14ac:dyDescent="0.75">
      <c r="A534" s="61" t="s">
        <v>1797</v>
      </c>
      <c r="B534" s="32" t="s">
        <v>952</v>
      </c>
      <c r="C534" s="32" t="s">
        <v>656</v>
      </c>
      <c r="D534" s="32" t="s">
        <v>129</v>
      </c>
      <c r="E534" s="32" t="s">
        <v>59</v>
      </c>
      <c r="F534" s="62">
        <v>0.1</v>
      </c>
      <c r="G534" s="62" t="s">
        <v>415</v>
      </c>
      <c r="H534" s="69" t="s">
        <v>432</v>
      </c>
      <c r="I534" s="69" t="s">
        <v>433</v>
      </c>
      <c r="J534" s="32">
        <v>2.1</v>
      </c>
      <c r="K534" s="63" t="s">
        <v>658</v>
      </c>
      <c r="L534" s="64" t="s">
        <v>493</v>
      </c>
      <c r="M534" s="64" t="s">
        <v>659</v>
      </c>
    </row>
    <row r="535" spans="1:14" ht="28.5" x14ac:dyDescent="0.75">
      <c r="A535" s="61" t="s">
        <v>1798</v>
      </c>
      <c r="B535" s="32" t="s">
        <v>954</v>
      </c>
      <c r="C535" s="32" t="s">
        <v>663</v>
      </c>
      <c r="D535" s="32" t="s">
        <v>129</v>
      </c>
      <c r="E535" s="32" t="s">
        <v>59</v>
      </c>
      <c r="F535" s="62">
        <v>0.1</v>
      </c>
      <c r="G535" s="62" t="s">
        <v>415</v>
      </c>
      <c r="H535" s="69" t="s">
        <v>432</v>
      </c>
      <c r="I535" s="69" t="s">
        <v>433</v>
      </c>
      <c r="J535" s="32">
        <v>3.1</v>
      </c>
      <c r="K535" s="63" t="s">
        <v>664</v>
      </c>
      <c r="L535" s="64" t="s">
        <v>552</v>
      </c>
      <c r="M535" s="64" t="s">
        <v>659</v>
      </c>
    </row>
    <row r="536" spans="1:14" ht="42.75" x14ac:dyDescent="0.75">
      <c r="A536" s="61" t="s">
        <v>1799</v>
      </c>
      <c r="B536" s="32" t="s">
        <v>956</v>
      </c>
      <c r="C536" s="32" t="s">
        <v>656</v>
      </c>
      <c r="D536" s="32" t="s">
        <v>129</v>
      </c>
      <c r="E536" s="32" t="s">
        <v>59</v>
      </c>
      <c r="F536" s="62">
        <v>0.1</v>
      </c>
      <c r="G536" s="62" t="s">
        <v>415</v>
      </c>
      <c r="H536" s="69" t="s">
        <v>429</v>
      </c>
      <c r="I536" s="69" t="s">
        <v>430</v>
      </c>
      <c r="J536" s="32">
        <v>2.1</v>
      </c>
      <c r="K536" s="63" t="s">
        <v>658</v>
      </c>
      <c r="L536" s="64" t="s">
        <v>493</v>
      </c>
      <c r="M536" s="64" t="s">
        <v>659</v>
      </c>
      <c r="N536" s="32" t="s">
        <v>801</v>
      </c>
    </row>
    <row r="537" spans="1:14" ht="42.75" x14ac:dyDescent="0.75">
      <c r="A537" s="61" t="s">
        <v>1800</v>
      </c>
      <c r="B537" s="32" t="s">
        <v>958</v>
      </c>
      <c r="C537" s="32" t="s">
        <v>663</v>
      </c>
      <c r="D537" s="32" t="s">
        <v>129</v>
      </c>
      <c r="E537" s="32" t="s">
        <v>59</v>
      </c>
      <c r="F537" s="62">
        <v>0.1</v>
      </c>
      <c r="G537" s="62" t="s">
        <v>415</v>
      </c>
      <c r="H537" s="69" t="s">
        <v>429</v>
      </c>
      <c r="I537" s="69" t="s">
        <v>430</v>
      </c>
      <c r="J537" s="32">
        <v>3.1</v>
      </c>
      <c r="K537" s="63" t="s">
        <v>664</v>
      </c>
      <c r="L537" s="64" t="s">
        <v>552</v>
      </c>
      <c r="M537" s="64" t="s">
        <v>659</v>
      </c>
      <c r="N537" s="32" t="s">
        <v>801</v>
      </c>
    </row>
    <row r="538" spans="1:14" ht="156.75" x14ac:dyDescent="0.75">
      <c r="A538" s="61" t="s">
        <v>1801</v>
      </c>
      <c r="B538" s="32" t="s">
        <v>1802</v>
      </c>
      <c r="C538" s="32" t="s">
        <v>1803</v>
      </c>
      <c r="D538" s="32" t="s">
        <v>135</v>
      </c>
      <c r="E538" s="32" t="s">
        <v>59</v>
      </c>
      <c r="F538" s="32">
        <v>3.1</v>
      </c>
      <c r="G538" s="64" t="s">
        <v>550</v>
      </c>
      <c r="H538" s="62" t="s">
        <v>555</v>
      </c>
      <c r="I538" s="62" t="s">
        <v>556</v>
      </c>
      <c r="J538" s="32">
        <v>2.1</v>
      </c>
      <c r="K538" s="63" t="s">
        <v>658</v>
      </c>
      <c r="L538" s="64" t="s">
        <v>493</v>
      </c>
      <c r="M538" s="64" t="s">
        <v>659</v>
      </c>
      <c r="N538" s="32" t="s">
        <v>1537</v>
      </c>
    </row>
    <row r="539" spans="1:14" ht="114" x14ac:dyDescent="0.75">
      <c r="A539" s="61" t="s">
        <v>1804</v>
      </c>
      <c r="B539" s="32" t="s">
        <v>1805</v>
      </c>
      <c r="C539" s="32" t="s">
        <v>1806</v>
      </c>
      <c r="D539" s="32" t="s">
        <v>135</v>
      </c>
      <c r="E539" s="32" t="s">
        <v>59</v>
      </c>
      <c r="F539" s="32">
        <v>3.1</v>
      </c>
      <c r="G539" s="64" t="s">
        <v>550</v>
      </c>
      <c r="H539" s="62" t="s">
        <v>555</v>
      </c>
      <c r="I539" s="62" t="s">
        <v>556</v>
      </c>
      <c r="J539" s="32">
        <v>3.1</v>
      </c>
      <c r="K539" s="63" t="s">
        <v>664</v>
      </c>
      <c r="L539" s="64" t="s">
        <v>552</v>
      </c>
      <c r="M539" s="64" t="s">
        <v>659</v>
      </c>
      <c r="N539" s="32" t="s">
        <v>1537</v>
      </c>
    </row>
    <row r="540" spans="1:14" ht="156.75" x14ac:dyDescent="0.75">
      <c r="A540" s="61" t="s">
        <v>1807</v>
      </c>
      <c r="B540" s="32" t="s">
        <v>1808</v>
      </c>
      <c r="C540" s="32" t="s">
        <v>1803</v>
      </c>
      <c r="D540" s="32" t="s">
        <v>135</v>
      </c>
      <c r="E540" s="32" t="s">
        <v>59</v>
      </c>
      <c r="F540" s="32">
        <v>3.1</v>
      </c>
      <c r="G540" s="64" t="s">
        <v>550</v>
      </c>
      <c r="H540" s="62" t="s">
        <v>555</v>
      </c>
      <c r="I540" s="62" t="s">
        <v>556</v>
      </c>
      <c r="J540" s="32">
        <v>2.1</v>
      </c>
      <c r="K540" s="63" t="s">
        <v>658</v>
      </c>
      <c r="L540" s="64" t="s">
        <v>493</v>
      </c>
      <c r="M540" s="64" t="s">
        <v>659</v>
      </c>
      <c r="N540" s="32" t="s">
        <v>1537</v>
      </c>
    </row>
    <row r="541" spans="1:14" ht="114" x14ac:dyDescent="0.75">
      <c r="A541" s="61" t="s">
        <v>1809</v>
      </c>
      <c r="B541" s="32" t="s">
        <v>1810</v>
      </c>
      <c r="C541" s="32" t="s">
        <v>1806</v>
      </c>
      <c r="D541" s="32" t="s">
        <v>135</v>
      </c>
      <c r="E541" s="32" t="s">
        <v>59</v>
      </c>
      <c r="F541" s="32">
        <v>3.1</v>
      </c>
      <c r="G541" s="64" t="s">
        <v>550</v>
      </c>
      <c r="H541" s="62" t="s">
        <v>555</v>
      </c>
      <c r="I541" s="62" t="s">
        <v>556</v>
      </c>
      <c r="J541" s="32">
        <v>3.1</v>
      </c>
      <c r="K541" s="63" t="s">
        <v>664</v>
      </c>
      <c r="L541" s="64" t="s">
        <v>552</v>
      </c>
      <c r="M541" s="64" t="s">
        <v>659</v>
      </c>
      <c r="N541" s="32" t="s">
        <v>1537</v>
      </c>
    </row>
    <row r="542" spans="1:14" ht="156.75" x14ac:dyDescent="0.75">
      <c r="A542" s="61" t="s">
        <v>1811</v>
      </c>
      <c r="B542" s="32" t="s">
        <v>1812</v>
      </c>
      <c r="C542" s="32" t="s">
        <v>1803</v>
      </c>
      <c r="D542" s="32" t="s">
        <v>135</v>
      </c>
      <c r="E542" s="32" t="s">
        <v>59</v>
      </c>
      <c r="F542" s="32">
        <v>3.1</v>
      </c>
      <c r="G542" s="64" t="s">
        <v>550</v>
      </c>
      <c r="H542" s="62" t="s">
        <v>555</v>
      </c>
      <c r="I542" s="62" t="s">
        <v>556</v>
      </c>
      <c r="J542" s="32">
        <v>2.1</v>
      </c>
      <c r="K542" s="63" t="s">
        <v>658</v>
      </c>
      <c r="L542" s="64" t="s">
        <v>493</v>
      </c>
      <c r="M542" s="64" t="s">
        <v>659</v>
      </c>
      <c r="N542" s="32" t="s">
        <v>1537</v>
      </c>
    </row>
    <row r="543" spans="1:14" ht="114" x14ac:dyDescent="0.75">
      <c r="A543" s="61" t="s">
        <v>1813</v>
      </c>
      <c r="B543" s="32" t="s">
        <v>1814</v>
      </c>
      <c r="C543" s="32" t="s">
        <v>1806</v>
      </c>
      <c r="D543" s="32" t="s">
        <v>135</v>
      </c>
      <c r="E543" s="32" t="s">
        <v>59</v>
      </c>
      <c r="F543" s="32">
        <v>3.1</v>
      </c>
      <c r="G543" s="64" t="s">
        <v>550</v>
      </c>
      <c r="H543" s="62" t="s">
        <v>555</v>
      </c>
      <c r="I543" s="62" t="s">
        <v>556</v>
      </c>
      <c r="J543" s="32">
        <v>3.1</v>
      </c>
      <c r="K543" s="63" t="s">
        <v>664</v>
      </c>
      <c r="L543" s="64" t="s">
        <v>552</v>
      </c>
      <c r="M543" s="64" t="s">
        <v>659</v>
      </c>
      <c r="N543" s="32" t="s">
        <v>1537</v>
      </c>
    </row>
    <row r="544" spans="1:14" ht="42.75" x14ac:dyDescent="0.75">
      <c r="A544" s="61" t="s">
        <v>1815</v>
      </c>
      <c r="B544" s="32" t="s">
        <v>1816</v>
      </c>
      <c r="C544" s="32" t="s">
        <v>663</v>
      </c>
      <c r="D544" s="32" t="s">
        <v>135</v>
      </c>
      <c r="E544" s="32" t="s">
        <v>58</v>
      </c>
      <c r="F544" s="32">
        <v>3.1</v>
      </c>
      <c r="G544" s="64" t="s">
        <v>550</v>
      </c>
      <c r="H544" s="62" t="s">
        <v>555</v>
      </c>
      <c r="I544" s="62" t="s">
        <v>556</v>
      </c>
      <c r="J544" s="32">
        <v>6.1</v>
      </c>
      <c r="K544" s="63" t="s">
        <v>66</v>
      </c>
      <c r="L544" s="62" t="s">
        <v>597</v>
      </c>
      <c r="M544" s="64" t="s">
        <v>676</v>
      </c>
      <c r="N544" s="32" t="s">
        <v>1537</v>
      </c>
    </row>
    <row r="545" spans="1:14" ht="42.75" x14ac:dyDescent="0.75">
      <c r="A545" s="61" t="s">
        <v>1817</v>
      </c>
      <c r="B545" s="32" t="s">
        <v>1818</v>
      </c>
      <c r="C545" s="32" t="s">
        <v>663</v>
      </c>
      <c r="D545" s="32" t="s">
        <v>135</v>
      </c>
      <c r="E545" s="32" t="s">
        <v>58</v>
      </c>
      <c r="F545" s="32">
        <v>3.1</v>
      </c>
      <c r="G545" s="64" t="s">
        <v>550</v>
      </c>
      <c r="H545" s="62" t="s">
        <v>555</v>
      </c>
      <c r="I545" s="62" t="s">
        <v>556</v>
      </c>
      <c r="J545" s="32">
        <v>6.1</v>
      </c>
      <c r="K545" s="63" t="s">
        <v>66</v>
      </c>
      <c r="L545" s="62" t="s">
        <v>600</v>
      </c>
      <c r="M545" s="62" t="s">
        <v>659</v>
      </c>
      <c r="N545" s="32" t="s">
        <v>1537</v>
      </c>
    </row>
    <row r="546" spans="1:14" ht="85.5" x14ac:dyDescent="0.75">
      <c r="A546" s="74" t="s">
        <v>1819</v>
      </c>
      <c r="B546" s="75" t="s">
        <v>1820</v>
      </c>
      <c r="C546" s="75" t="s">
        <v>1821</v>
      </c>
      <c r="D546" s="32" t="s">
        <v>135</v>
      </c>
      <c r="E546" s="75" t="s">
        <v>58</v>
      </c>
      <c r="F546" s="32">
        <v>2.1</v>
      </c>
      <c r="G546" s="64" t="s">
        <v>491</v>
      </c>
      <c r="H546" s="62" t="s">
        <v>493</v>
      </c>
      <c r="I546" s="62" t="s">
        <v>494</v>
      </c>
      <c r="J546" s="32">
        <v>9.1</v>
      </c>
      <c r="K546" s="73" t="s">
        <v>1028</v>
      </c>
      <c r="L546" s="62" t="s">
        <v>1511</v>
      </c>
      <c r="M546" s="62" t="s">
        <v>1030</v>
      </c>
      <c r="N546" s="32" t="s">
        <v>782</v>
      </c>
    </row>
    <row r="547" spans="1:14" ht="128.25" x14ac:dyDescent="0.75">
      <c r="A547" s="61" t="s">
        <v>1822</v>
      </c>
      <c r="B547" s="32" t="s">
        <v>1823</v>
      </c>
      <c r="C547" s="32" t="s">
        <v>1824</v>
      </c>
      <c r="D547" s="32" t="s">
        <v>135</v>
      </c>
      <c r="E547" s="32" t="s">
        <v>59</v>
      </c>
      <c r="F547" s="32">
        <v>0.2</v>
      </c>
      <c r="G547" s="64" t="s">
        <v>435</v>
      </c>
      <c r="H547" s="62" t="s">
        <v>437</v>
      </c>
      <c r="I547" s="62" t="s">
        <v>438</v>
      </c>
      <c r="J547" s="32">
        <v>2.1</v>
      </c>
      <c r="K547" s="63" t="s">
        <v>658</v>
      </c>
      <c r="L547" s="64" t="s">
        <v>493</v>
      </c>
      <c r="M547" s="64" t="s">
        <v>659</v>
      </c>
      <c r="N547" s="32" t="s">
        <v>1825</v>
      </c>
    </row>
    <row r="548" spans="1:14" ht="85.5" x14ac:dyDescent="0.75">
      <c r="A548" s="61" t="s">
        <v>1826</v>
      </c>
      <c r="B548" s="32" t="s">
        <v>1827</v>
      </c>
      <c r="C548" s="32" t="s">
        <v>1828</v>
      </c>
      <c r="D548" s="32" t="s">
        <v>135</v>
      </c>
      <c r="E548" s="32" t="s">
        <v>59</v>
      </c>
      <c r="F548" s="32">
        <v>0.2</v>
      </c>
      <c r="G548" s="64" t="s">
        <v>435</v>
      </c>
      <c r="H548" s="62" t="s">
        <v>437</v>
      </c>
      <c r="I548" s="62" t="s">
        <v>438</v>
      </c>
      <c r="J548" s="32">
        <v>3.1</v>
      </c>
      <c r="K548" s="63" t="s">
        <v>664</v>
      </c>
      <c r="L548" s="64" t="s">
        <v>552</v>
      </c>
      <c r="M548" s="64" t="s">
        <v>659</v>
      </c>
      <c r="N548" s="32" t="s">
        <v>1825</v>
      </c>
    </row>
    <row r="549" spans="1:14" ht="57" x14ac:dyDescent="0.75">
      <c r="A549" s="61" t="s">
        <v>1829</v>
      </c>
      <c r="B549" s="32" t="s">
        <v>1830</v>
      </c>
      <c r="C549" s="32" t="s">
        <v>656</v>
      </c>
      <c r="D549" s="32" t="s">
        <v>135</v>
      </c>
      <c r="E549" s="32" t="s">
        <v>59</v>
      </c>
      <c r="F549" s="32">
        <v>4.0999999999999996</v>
      </c>
      <c r="G549" s="64" t="s">
        <v>567</v>
      </c>
      <c r="H549" s="62" t="s">
        <v>584</v>
      </c>
      <c r="I549" s="62" t="s">
        <v>585</v>
      </c>
      <c r="J549" s="32">
        <v>2.1</v>
      </c>
      <c r="K549" s="63" t="s">
        <v>658</v>
      </c>
      <c r="L549" s="64" t="s">
        <v>493</v>
      </c>
      <c r="M549" s="64" t="s">
        <v>659</v>
      </c>
      <c r="N549" s="32" t="s">
        <v>1825</v>
      </c>
    </row>
    <row r="550" spans="1:14" ht="57" x14ac:dyDescent="0.75">
      <c r="A550" s="61" t="s">
        <v>1831</v>
      </c>
      <c r="B550" s="32" t="s">
        <v>1832</v>
      </c>
      <c r="C550" s="76"/>
      <c r="D550" s="32" t="s">
        <v>135</v>
      </c>
      <c r="E550" s="32" t="s">
        <v>59</v>
      </c>
      <c r="F550" s="32">
        <v>4.0999999999999996</v>
      </c>
      <c r="G550" s="64" t="s">
        <v>567</v>
      </c>
      <c r="H550" s="62" t="s">
        <v>584</v>
      </c>
      <c r="I550" s="62" t="s">
        <v>585</v>
      </c>
      <c r="J550" s="32">
        <v>3.1</v>
      </c>
      <c r="K550" s="63" t="s">
        <v>664</v>
      </c>
      <c r="L550" s="64" t="s">
        <v>552</v>
      </c>
      <c r="M550" s="64" t="s">
        <v>659</v>
      </c>
      <c r="N550" s="32" t="s">
        <v>1825</v>
      </c>
    </row>
    <row r="551" spans="1:14" ht="57" x14ac:dyDescent="0.75">
      <c r="A551" s="61" t="s">
        <v>1833</v>
      </c>
      <c r="B551" s="32" t="s">
        <v>1834</v>
      </c>
      <c r="C551" s="32" t="s">
        <v>656</v>
      </c>
      <c r="D551" s="32" t="s">
        <v>135</v>
      </c>
      <c r="E551" s="32" t="s">
        <v>59</v>
      </c>
      <c r="F551" s="32">
        <v>4.0999999999999996</v>
      </c>
      <c r="G551" s="64" t="s">
        <v>567</v>
      </c>
      <c r="H551" s="62" t="s">
        <v>584</v>
      </c>
      <c r="I551" s="62" t="s">
        <v>585</v>
      </c>
      <c r="J551" s="32">
        <v>2.1</v>
      </c>
      <c r="K551" s="63" t="s">
        <v>658</v>
      </c>
      <c r="L551" s="64" t="s">
        <v>493</v>
      </c>
      <c r="M551" s="64" t="s">
        <v>659</v>
      </c>
      <c r="N551" s="32" t="s">
        <v>1825</v>
      </c>
    </row>
    <row r="552" spans="1:14" ht="57" x14ac:dyDescent="0.75">
      <c r="A552" s="61" t="s">
        <v>1835</v>
      </c>
      <c r="B552" s="32" t="s">
        <v>1836</v>
      </c>
      <c r="D552" s="32" t="s">
        <v>135</v>
      </c>
      <c r="E552" s="32" t="s">
        <v>59</v>
      </c>
      <c r="F552" s="32">
        <v>4.0999999999999996</v>
      </c>
      <c r="G552" s="64" t="s">
        <v>567</v>
      </c>
      <c r="H552" s="62" t="s">
        <v>584</v>
      </c>
      <c r="I552" s="62" t="s">
        <v>585</v>
      </c>
      <c r="J552" s="32">
        <v>3.1</v>
      </c>
      <c r="K552" s="63" t="s">
        <v>664</v>
      </c>
      <c r="L552" s="64" t="s">
        <v>552</v>
      </c>
      <c r="M552" s="64" t="s">
        <v>659</v>
      </c>
      <c r="N552" s="32" t="s">
        <v>1825</v>
      </c>
    </row>
    <row r="553" spans="1:14" ht="57" x14ac:dyDescent="0.75">
      <c r="A553" s="61" t="s">
        <v>1837</v>
      </c>
      <c r="B553" s="32" t="s">
        <v>1838</v>
      </c>
      <c r="C553" s="32" t="s">
        <v>656</v>
      </c>
      <c r="D553" s="32" t="s">
        <v>135</v>
      </c>
      <c r="E553" s="32" t="s">
        <v>59</v>
      </c>
      <c r="F553" s="32">
        <v>0.2</v>
      </c>
      <c r="G553" s="64" t="s">
        <v>435</v>
      </c>
      <c r="H553" s="62" t="s">
        <v>437</v>
      </c>
      <c r="I553" s="62" t="s">
        <v>438</v>
      </c>
      <c r="J553" s="32">
        <v>2.1</v>
      </c>
      <c r="K553" s="63" t="s">
        <v>658</v>
      </c>
      <c r="L553" s="64" t="s">
        <v>493</v>
      </c>
      <c r="M553" s="64" t="s">
        <v>659</v>
      </c>
      <c r="N553" s="32" t="s">
        <v>1825</v>
      </c>
    </row>
    <row r="554" spans="1:14" ht="57" x14ac:dyDescent="0.75">
      <c r="A554" s="61" t="s">
        <v>1839</v>
      </c>
      <c r="B554" s="32" t="s">
        <v>1840</v>
      </c>
      <c r="C554" s="77"/>
      <c r="D554" s="32" t="s">
        <v>135</v>
      </c>
      <c r="E554" s="32" t="s">
        <v>59</v>
      </c>
      <c r="F554" s="32">
        <v>0.2</v>
      </c>
      <c r="G554" s="64" t="s">
        <v>435</v>
      </c>
      <c r="H554" s="62" t="s">
        <v>437</v>
      </c>
      <c r="I554" s="62" t="s">
        <v>438</v>
      </c>
      <c r="J554" s="32">
        <v>3.1</v>
      </c>
      <c r="K554" s="63" t="s">
        <v>664</v>
      </c>
      <c r="L554" s="64" t="s">
        <v>552</v>
      </c>
      <c r="M554" s="64" t="s">
        <v>659</v>
      </c>
      <c r="N554" s="32" t="s">
        <v>1825</v>
      </c>
    </row>
    <row r="555" spans="1:14" ht="57" x14ac:dyDescent="0.75">
      <c r="A555" s="61" t="s">
        <v>1841</v>
      </c>
      <c r="B555" s="32" t="s">
        <v>1842</v>
      </c>
      <c r="C555" s="32" t="s">
        <v>656</v>
      </c>
      <c r="D555" s="32" t="s">
        <v>135</v>
      </c>
      <c r="E555" s="32" t="s">
        <v>59</v>
      </c>
      <c r="F555" s="32">
        <v>0.2</v>
      </c>
      <c r="G555" s="64" t="s">
        <v>435</v>
      </c>
      <c r="H555" s="62" t="s">
        <v>437</v>
      </c>
      <c r="I555" s="62" t="s">
        <v>438</v>
      </c>
      <c r="J555" s="32">
        <v>2.1</v>
      </c>
      <c r="K555" s="63" t="s">
        <v>658</v>
      </c>
      <c r="L555" s="64" t="s">
        <v>493</v>
      </c>
      <c r="M555" s="64" t="s">
        <v>659</v>
      </c>
      <c r="N555" s="32" t="s">
        <v>1825</v>
      </c>
    </row>
    <row r="556" spans="1:14" ht="57" x14ac:dyDescent="0.75">
      <c r="A556" s="61" t="s">
        <v>1843</v>
      </c>
      <c r="B556" s="32" t="s">
        <v>1844</v>
      </c>
      <c r="C556" s="32" t="s">
        <v>663</v>
      </c>
      <c r="D556" s="32" t="s">
        <v>135</v>
      </c>
      <c r="E556" s="32" t="s">
        <v>59</v>
      </c>
      <c r="F556" s="32">
        <v>0.2</v>
      </c>
      <c r="G556" s="64" t="s">
        <v>435</v>
      </c>
      <c r="H556" s="62" t="s">
        <v>437</v>
      </c>
      <c r="I556" s="62" t="s">
        <v>438</v>
      </c>
      <c r="J556" s="32">
        <v>3.1</v>
      </c>
      <c r="K556" s="63" t="s">
        <v>664</v>
      </c>
      <c r="L556" s="64" t="s">
        <v>552</v>
      </c>
      <c r="M556" s="64" t="s">
        <v>659</v>
      </c>
      <c r="N556" s="32" t="s">
        <v>1825</v>
      </c>
    </row>
    <row r="557" spans="1:14" ht="57" x14ac:dyDescent="0.75">
      <c r="A557" s="61" t="s">
        <v>1845</v>
      </c>
      <c r="B557" s="32" t="s">
        <v>1846</v>
      </c>
      <c r="C557" s="32" t="s">
        <v>656</v>
      </c>
      <c r="D557" s="32" t="s">
        <v>135</v>
      </c>
      <c r="E557" s="32" t="s">
        <v>59</v>
      </c>
      <c r="F557" s="32">
        <v>0.2</v>
      </c>
      <c r="G557" s="64" t="s">
        <v>435</v>
      </c>
      <c r="H557" s="62" t="s">
        <v>437</v>
      </c>
      <c r="I557" s="62" t="s">
        <v>438</v>
      </c>
      <c r="J557" s="32">
        <v>2.1</v>
      </c>
      <c r="K557" s="63" t="s">
        <v>658</v>
      </c>
      <c r="L557" s="64" t="s">
        <v>493</v>
      </c>
      <c r="M557" s="64" t="s">
        <v>659</v>
      </c>
      <c r="N557" s="32" t="s">
        <v>1825</v>
      </c>
    </row>
    <row r="558" spans="1:14" ht="57" x14ac:dyDescent="0.75">
      <c r="A558" s="61" t="s">
        <v>1847</v>
      </c>
      <c r="B558" s="32" t="s">
        <v>1848</v>
      </c>
      <c r="C558" s="78"/>
      <c r="D558" s="32" t="s">
        <v>135</v>
      </c>
      <c r="E558" s="32" t="s">
        <v>59</v>
      </c>
      <c r="F558" s="32">
        <v>0.2</v>
      </c>
      <c r="G558" s="64" t="s">
        <v>435</v>
      </c>
      <c r="H558" s="62" t="s">
        <v>437</v>
      </c>
      <c r="I558" s="62" t="s">
        <v>438</v>
      </c>
      <c r="J558" s="32">
        <v>3.1</v>
      </c>
      <c r="K558" s="63" t="s">
        <v>664</v>
      </c>
      <c r="L558" s="64" t="s">
        <v>552</v>
      </c>
      <c r="M558" s="64" t="s">
        <v>659</v>
      </c>
      <c r="N558" s="32" t="s">
        <v>1825</v>
      </c>
    </row>
    <row r="559" spans="1:14" ht="57" x14ac:dyDescent="0.75">
      <c r="A559" s="61" t="s">
        <v>1849</v>
      </c>
      <c r="B559" s="32" t="s">
        <v>1850</v>
      </c>
      <c r="C559" s="32" t="s">
        <v>656</v>
      </c>
      <c r="D559" s="32" t="s">
        <v>135</v>
      </c>
      <c r="E559" s="32" t="s">
        <v>59</v>
      </c>
      <c r="F559" s="32">
        <v>0.2</v>
      </c>
      <c r="G559" s="64" t="s">
        <v>435</v>
      </c>
      <c r="H559" s="62" t="s">
        <v>437</v>
      </c>
      <c r="I559" s="62" t="s">
        <v>438</v>
      </c>
      <c r="J559" s="32">
        <v>2.1</v>
      </c>
      <c r="K559" s="63" t="s">
        <v>658</v>
      </c>
      <c r="L559" s="64" t="s">
        <v>493</v>
      </c>
      <c r="M559" s="64" t="s">
        <v>659</v>
      </c>
      <c r="N559" s="32" t="s">
        <v>1825</v>
      </c>
    </row>
    <row r="560" spans="1:14" ht="57" x14ac:dyDescent="0.75">
      <c r="A560" s="61" t="s">
        <v>1849</v>
      </c>
      <c r="B560" s="32" t="s">
        <v>1851</v>
      </c>
      <c r="C560" s="32" t="s">
        <v>663</v>
      </c>
      <c r="D560" s="32" t="s">
        <v>135</v>
      </c>
      <c r="E560" s="32" t="s">
        <v>59</v>
      </c>
      <c r="F560" s="32">
        <v>0.2</v>
      </c>
      <c r="G560" s="64" t="s">
        <v>435</v>
      </c>
      <c r="H560" s="62" t="s">
        <v>437</v>
      </c>
      <c r="I560" s="62" t="s">
        <v>438</v>
      </c>
      <c r="J560" s="32">
        <v>3.1</v>
      </c>
      <c r="K560" s="63" t="s">
        <v>664</v>
      </c>
      <c r="L560" s="64" t="s">
        <v>552</v>
      </c>
      <c r="M560" s="64" t="s">
        <v>659</v>
      </c>
      <c r="N560" s="32" t="s">
        <v>1825</v>
      </c>
    </row>
    <row r="561" spans="1:14" ht="57" x14ac:dyDescent="0.75">
      <c r="A561" s="61" t="s">
        <v>1852</v>
      </c>
      <c r="B561" s="32" t="s">
        <v>1853</v>
      </c>
      <c r="C561" s="32" t="s">
        <v>656</v>
      </c>
      <c r="D561" s="32" t="s">
        <v>135</v>
      </c>
      <c r="E561" s="32" t="s">
        <v>59</v>
      </c>
      <c r="F561" s="32">
        <v>0.2</v>
      </c>
      <c r="G561" s="64" t="s">
        <v>435</v>
      </c>
      <c r="H561" s="62" t="s">
        <v>437</v>
      </c>
      <c r="I561" s="62" t="s">
        <v>438</v>
      </c>
      <c r="J561" s="32">
        <v>2.1</v>
      </c>
      <c r="K561" s="63" t="s">
        <v>658</v>
      </c>
      <c r="L561" s="64" t="s">
        <v>493</v>
      </c>
      <c r="M561" s="64" t="s">
        <v>659</v>
      </c>
      <c r="N561" s="32" t="s">
        <v>1825</v>
      </c>
    </row>
    <row r="562" spans="1:14" ht="57" x14ac:dyDescent="0.75">
      <c r="A562" s="61" t="s">
        <v>1854</v>
      </c>
      <c r="B562" s="32" t="s">
        <v>1855</v>
      </c>
      <c r="C562" s="32" t="s">
        <v>663</v>
      </c>
      <c r="D562" s="32" t="s">
        <v>135</v>
      </c>
      <c r="E562" s="32" t="s">
        <v>59</v>
      </c>
      <c r="F562" s="32">
        <v>0.2</v>
      </c>
      <c r="G562" s="64" t="s">
        <v>435</v>
      </c>
      <c r="H562" s="62" t="s">
        <v>437</v>
      </c>
      <c r="I562" s="62" t="s">
        <v>438</v>
      </c>
      <c r="J562" s="32">
        <v>3.1</v>
      </c>
      <c r="K562" s="63" t="s">
        <v>664</v>
      </c>
      <c r="L562" s="64" t="s">
        <v>552</v>
      </c>
      <c r="M562" s="64" t="s">
        <v>659</v>
      </c>
      <c r="N562" s="32" t="s">
        <v>1825</v>
      </c>
    </row>
    <row r="563" spans="1:14" ht="57" x14ac:dyDescent="0.75">
      <c r="A563" s="61" t="s">
        <v>1856</v>
      </c>
      <c r="B563" s="32" t="s">
        <v>1857</v>
      </c>
      <c r="C563" s="32" t="s">
        <v>663</v>
      </c>
      <c r="D563" s="32" t="s">
        <v>135</v>
      </c>
      <c r="E563" s="32" t="s">
        <v>58</v>
      </c>
      <c r="F563" s="32">
        <v>0.2</v>
      </c>
      <c r="G563" s="64" t="s">
        <v>435</v>
      </c>
      <c r="H563" s="62" t="s">
        <v>437</v>
      </c>
      <c r="I563" s="62" t="s">
        <v>438</v>
      </c>
      <c r="J563" s="32">
        <v>6.1</v>
      </c>
      <c r="K563" s="63" t="s">
        <v>66</v>
      </c>
      <c r="L563" s="62" t="s">
        <v>597</v>
      </c>
      <c r="M563" s="64" t="s">
        <v>676</v>
      </c>
      <c r="N563" s="32" t="s">
        <v>1825</v>
      </c>
    </row>
    <row r="564" spans="1:14" ht="57" x14ac:dyDescent="0.75">
      <c r="A564" s="61" t="s">
        <v>1858</v>
      </c>
      <c r="B564" s="32" t="s">
        <v>1859</v>
      </c>
      <c r="C564" s="32" t="s">
        <v>663</v>
      </c>
      <c r="D564" s="32" t="s">
        <v>135</v>
      </c>
      <c r="E564" s="32" t="s">
        <v>58</v>
      </c>
      <c r="F564" s="32">
        <v>0.2</v>
      </c>
      <c r="G564" s="64" t="s">
        <v>435</v>
      </c>
      <c r="H564" s="62" t="s">
        <v>437</v>
      </c>
      <c r="I564" s="62" t="s">
        <v>438</v>
      </c>
      <c r="J564" s="32">
        <v>6.1</v>
      </c>
      <c r="K564" s="63" t="s">
        <v>66</v>
      </c>
      <c r="L564" s="62" t="s">
        <v>600</v>
      </c>
      <c r="M564" s="62" t="s">
        <v>659</v>
      </c>
      <c r="N564" s="32" t="s">
        <v>1825</v>
      </c>
    </row>
    <row r="565" spans="1:14" ht="28.5" x14ac:dyDescent="0.75">
      <c r="A565" s="61" t="s">
        <v>1860</v>
      </c>
      <c r="B565" s="32" t="s">
        <v>1861</v>
      </c>
      <c r="C565" s="32" t="s">
        <v>656</v>
      </c>
      <c r="D565" s="32" t="s">
        <v>135</v>
      </c>
      <c r="E565" s="32" t="s">
        <v>59</v>
      </c>
      <c r="F565" s="62">
        <v>4.0999999999999996</v>
      </c>
      <c r="G565" s="62" t="s">
        <v>567</v>
      </c>
      <c r="H565" s="69" t="s">
        <v>590</v>
      </c>
      <c r="I565" s="69" t="s">
        <v>591</v>
      </c>
      <c r="J565" s="32">
        <v>2.1</v>
      </c>
      <c r="K565" s="63" t="s">
        <v>658</v>
      </c>
      <c r="L565" s="64" t="s">
        <v>493</v>
      </c>
      <c r="M565" s="64" t="s">
        <v>659</v>
      </c>
      <c r="N565" s="32" t="s">
        <v>1537</v>
      </c>
    </row>
    <row r="566" spans="1:14" ht="28.5" x14ac:dyDescent="0.75">
      <c r="A566" s="61" t="s">
        <v>1862</v>
      </c>
      <c r="B566" s="32" t="s">
        <v>1863</v>
      </c>
      <c r="C566" s="32" t="s">
        <v>663</v>
      </c>
      <c r="D566" s="32" t="s">
        <v>135</v>
      </c>
      <c r="E566" s="32" t="s">
        <v>59</v>
      </c>
      <c r="F566" s="62">
        <v>4.0999999999999996</v>
      </c>
      <c r="G566" s="62" t="s">
        <v>567</v>
      </c>
      <c r="H566" s="69" t="s">
        <v>590</v>
      </c>
      <c r="I566" s="69" t="s">
        <v>591</v>
      </c>
      <c r="J566" s="32">
        <v>3.1</v>
      </c>
      <c r="K566" s="63" t="s">
        <v>664</v>
      </c>
      <c r="L566" s="64" t="s">
        <v>552</v>
      </c>
      <c r="M566" s="64" t="s">
        <v>659</v>
      </c>
      <c r="N566" s="32" t="s">
        <v>1537</v>
      </c>
    </row>
    <row r="567" spans="1:14" ht="28.5" x14ac:dyDescent="0.75">
      <c r="A567" s="61" t="s">
        <v>1864</v>
      </c>
      <c r="B567" s="32" t="s">
        <v>1865</v>
      </c>
      <c r="C567" s="32" t="s">
        <v>656</v>
      </c>
      <c r="D567" s="32" t="s">
        <v>135</v>
      </c>
      <c r="E567" s="32" t="s">
        <v>59</v>
      </c>
      <c r="F567" s="62">
        <v>4.0999999999999996</v>
      </c>
      <c r="G567" s="62" t="s">
        <v>567</v>
      </c>
      <c r="H567" s="69" t="s">
        <v>590</v>
      </c>
      <c r="I567" s="69" t="s">
        <v>591</v>
      </c>
      <c r="J567" s="32">
        <v>2.1</v>
      </c>
      <c r="K567" s="63" t="s">
        <v>658</v>
      </c>
      <c r="L567" s="64" t="s">
        <v>493</v>
      </c>
      <c r="M567" s="64" t="s">
        <v>659</v>
      </c>
      <c r="N567" s="32" t="s">
        <v>1537</v>
      </c>
    </row>
    <row r="568" spans="1:14" ht="28.5" x14ac:dyDescent="0.75">
      <c r="A568" s="61" t="s">
        <v>1866</v>
      </c>
      <c r="B568" s="32" t="s">
        <v>1867</v>
      </c>
      <c r="C568" s="32" t="s">
        <v>663</v>
      </c>
      <c r="D568" s="32" t="s">
        <v>135</v>
      </c>
      <c r="E568" s="32" t="s">
        <v>59</v>
      </c>
      <c r="F568" s="62">
        <v>4.0999999999999996</v>
      </c>
      <c r="G568" s="62" t="s">
        <v>567</v>
      </c>
      <c r="H568" s="69" t="s">
        <v>590</v>
      </c>
      <c r="I568" s="69" t="s">
        <v>591</v>
      </c>
      <c r="J568" s="32">
        <v>3.1</v>
      </c>
      <c r="K568" s="63" t="s">
        <v>664</v>
      </c>
      <c r="L568" s="64" t="s">
        <v>552</v>
      </c>
      <c r="M568" s="64" t="s">
        <v>659</v>
      </c>
      <c r="N568" s="32" t="s">
        <v>1537</v>
      </c>
    </row>
    <row r="569" spans="1:14" ht="28.5" x14ac:dyDescent="0.75">
      <c r="A569" s="61" t="s">
        <v>1868</v>
      </c>
      <c r="B569" s="32" t="s">
        <v>1869</v>
      </c>
      <c r="C569" s="32" t="s">
        <v>656</v>
      </c>
      <c r="D569" s="32" t="s">
        <v>135</v>
      </c>
      <c r="E569" s="32" t="s">
        <v>59</v>
      </c>
      <c r="F569" s="62">
        <v>4.0999999999999996</v>
      </c>
      <c r="G569" s="62" t="s">
        <v>567</v>
      </c>
      <c r="H569" s="69" t="s">
        <v>590</v>
      </c>
      <c r="I569" s="69" t="s">
        <v>591</v>
      </c>
      <c r="J569" s="32">
        <v>2.1</v>
      </c>
      <c r="K569" s="63" t="s">
        <v>658</v>
      </c>
      <c r="L569" s="64" t="s">
        <v>493</v>
      </c>
      <c r="M569" s="64" t="s">
        <v>659</v>
      </c>
      <c r="N569" s="32" t="s">
        <v>1537</v>
      </c>
    </row>
    <row r="570" spans="1:14" ht="28.5" x14ac:dyDescent="0.75">
      <c r="A570" s="61" t="s">
        <v>1870</v>
      </c>
      <c r="B570" s="32" t="s">
        <v>1871</v>
      </c>
      <c r="C570" s="32" t="s">
        <v>663</v>
      </c>
      <c r="D570" s="32" t="s">
        <v>135</v>
      </c>
      <c r="E570" s="32" t="s">
        <v>59</v>
      </c>
      <c r="F570" s="62">
        <v>4.0999999999999996</v>
      </c>
      <c r="G570" s="62" t="s">
        <v>567</v>
      </c>
      <c r="H570" s="69" t="s">
        <v>590</v>
      </c>
      <c r="I570" s="69" t="s">
        <v>591</v>
      </c>
      <c r="J570" s="32">
        <v>3.1</v>
      </c>
      <c r="K570" s="63" t="s">
        <v>664</v>
      </c>
      <c r="L570" s="64" t="s">
        <v>552</v>
      </c>
      <c r="M570" s="64" t="s">
        <v>659</v>
      </c>
      <c r="N570" s="32" t="s">
        <v>1537</v>
      </c>
    </row>
    <row r="571" spans="1:14" ht="28.5" x14ac:dyDescent="0.75">
      <c r="A571" s="61" t="s">
        <v>1872</v>
      </c>
      <c r="B571" s="32" t="s">
        <v>1873</v>
      </c>
      <c r="C571" s="32" t="s">
        <v>663</v>
      </c>
      <c r="D571" s="32" t="s">
        <v>135</v>
      </c>
      <c r="E571" s="32" t="s">
        <v>58</v>
      </c>
      <c r="F571" s="62">
        <v>4.0999999999999996</v>
      </c>
      <c r="G571" s="62" t="s">
        <v>567</v>
      </c>
      <c r="H571" s="69" t="s">
        <v>590</v>
      </c>
      <c r="I571" s="69" t="s">
        <v>591</v>
      </c>
      <c r="J571" s="32">
        <v>6.1</v>
      </c>
      <c r="K571" s="63" t="s">
        <v>66</v>
      </c>
      <c r="L571" s="62" t="s">
        <v>597</v>
      </c>
      <c r="M571" s="64" t="s">
        <v>676</v>
      </c>
      <c r="N571" s="32" t="s">
        <v>1537</v>
      </c>
    </row>
    <row r="572" spans="1:14" ht="28.5" x14ac:dyDescent="0.75">
      <c r="A572" s="61" t="s">
        <v>1872</v>
      </c>
      <c r="B572" s="32" t="s">
        <v>1874</v>
      </c>
      <c r="C572" s="32" t="s">
        <v>663</v>
      </c>
      <c r="D572" s="32" t="s">
        <v>135</v>
      </c>
      <c r="E572" s="32" t="s">
        <v>58</v>
      </c>
      <c r="F572" s="62">
        <v>4.0999999999999996</v>
      </c>
      <c r="G572" s="62" t="s">
        <v>567</v>
      </c>
      <c r="H572" s="69" t="s">
        <v>590</v>
      </c>
      <c r="I572" s="69" t="s">
        <v>591</v>
      </c>
      <c r="J572" s="32">
        <v>6.1</v>
      </c>
      <c r="K572" s="63" t="s">
        <v>66</v>
      </c>
      <c r="L572" s="62" t="s">
        <v>600</v>
      </c>
      <c r="M572" s="62" t="s">
        <v>659</v>
      </c>
      <c r="N572" s="32" t="s">
        <v>1537</v>
      </c>
    </row>
    <row r="573" spans="1:14" ht="28.5" x14ac:dyDescent="0.75">
      <c r="A573" s="61" t="s">
        <v>1875</v>
      </c>
      <c r="B573" s="32" t="s">
        <v>944</v>
      </c>
      <c r="C573" s="32" t="s">
        <v>656</v>
      </c>
      <c r="D573" s="32" t="s">
        <v>135</v>
      </c>
      <c r="E573" s="32" t="s">
        <v>59</v>
      </c>
      <c r="F573" s="62">
        <v>0.2</v>
      </c>
      <c r="G573" s="64" t="s">
        <v>435</v>
      </c>
      <c r="H573" s="62" t="s">
        <v>437</v>
      </c>
      <c r="I573" s="62" t="s">
        <v>438</v>
      </c>
      <c r="J573" s="32">
        <v>2.1</v>
      </c>
      <c r="K573" s="63" t="s">
        <v>658</v>
      </c>
      <c r="L573" s="64" t="s">
        <v>493</v>
      </c>
      <c r="M573" s="64" t="s">
        <v>659</v>
      </c>
      <c r="N573" s="32" t="s">
        <v>767</v>
      </c>
    </row>
    <row r="574" spans="1:14" ht="28.5" x14ac:dyDescent="0.75">
      <c r="A574" s="61" t="s">
        <v>1876</v>
      </c>
      <c r="B574" s="32" t="s">
        <v>946</v>
      </c>
      <c r="C574" s="32" t="s">
        <v>663</v>
      </c>
      <c r="D574" s="32" t="s">
        <v>135</v>
      </c>
      <c r="E574" s="32" t="s">
        <v>59</v>
      </c>
      <c r="F574" s="62">
        <v>0.2</v>
      </c>
      <c r="G574" s="64" t="s">
        <v>435</v>
      </c>
      <c r="H574" s="62" t="s">
        <v>437</v>
      </c>
      <c r="I574" s="62" t="s">
        <v>438</v>
      </c>
      <c r="J574" s="32">
        <v>3.1</v>
      </c>
      <c r="K574" s="63" t="s">
        <v>664</v>
      </c>
      <c r="L574" s="64" t="s">
        <v>552</v>
      </c>
      <c r="M574" s="64" t="s">
        <v>659</v>
      </c>
      <c r="N574" s="32" t="s">
        <v>767</v>
      </c>
    </row>
    <row r="575" spans="1:14" ht="42.75" x14ac:dyDescent="0.75">
      <c r="A575" s="61" t="s">
        <v>1877</v>
      </c>
      <c r="B575" s="32" t="s">
        <v>948</v>
      </c>
      <c r="C575" s="32" t="s">
        <v>656</v>
      </c>
      <c r="D575" s="32" t="s">
        <v>135</v>
      </c>
      <c r="E575" s="32" t="s">
        <v>59</v>
      </c>
      <c r="F575" s="62">
        <v>0.1</v>
      </c>
      <c r="G575" s="62" t="s">
        <v>415</v>
      </c>
      <c r="H575" s="69" t="s">
        <v>429</v>
      </c>
      <c r="I575" s="69" t="s">
        <v>430</v>
      </c>
      <c r="J575" s="32">
        <v>2.1</v>
      </c>
      <c r="K575" s="63" t="s">
        <v>658</v>
      </c>
      <c r="L575" s="64" t="s">
        <v>493</v>
      </c>
      <c r="M575" s="64" t="s">
        <v>659</v>
      </c>
    </row>
    <row r="576" spans="1:14" ht="42.75" x14ac:dyDescent="0.75">
      <c r="A576" s="61" t="s">
        <v>1878</v>
      </c>
      <c r="B576" s="32" t="s">
        <v>950</v>
      </c>
      <c r="C576" s="32" t="s">
        <v>663</v>
      </c>
      <c r="D576" s="32" t="s">
        <v>135</v>
      </c>
      <c r="E576" s="32" t="s">
        <v>59</v>
      </c>
      <c r="F576" s="62">
        <v>0.1</v>
      </c>
      <c r="G576" s="62" t="s">
        <v>415</v>
      </c>
      <c r="H576" s="69" t="s">
        <v>429</v>
      </c>
      <c r="I576" s="69" t="s">
        <v>430</v>
      </c>
      <c r="J576" s="32">
        <v>3.1</v>
      </c>
      <c r="K576" s="63" t="s">
        <v>664</v>
      </c>
      <c r="L576" s="64" t="s">
        <v>552</v>
      </c>
      <c r="M576" s="64" t="s">
        <v>659</v>
      </c>
    </row>
    <row r="577" spans="1:17" ht="28.5" x14ac:dyDescent="0.75">
      <c r="A577" s="61" t="s">
        <v>1879</v>
      </c>
      <c r="B577" s="32" t="s">
        <v>952</v>
      </c>
      <c r="C577" s="32" t="s">
        <v>656</v>
      </c>
      <c r="D577" s="32" t="s">
        <v>135</v>
      </c>
      <c r="E577" s="32" t="s">
        <v>59</v>
      </c>
      <c r="F577" s="62">
        <v>0.1</v>
      </c>
      <c r="G577" s="62" t="s">
        <v>415</v>
      </c>
      <c r="H577" s="69" t="s">
        <v>432</v>
      </c>
      <c r="I577" s="69" t="s">
        <v>433</v>
      </c>
      <c r="J577" s="32">
        <v>2.1</v>
      </c>
      <c r="K577" s="63" t="s">
        <v>658</v>
      </c>
      <c r="L577" s="64" t="s">
        <v>493</v>
      </c>
      <c r="M577" s="64" t="s">
        <v>659</v>
      </c>
      <c r="O577" s="126"/>
      <c r="P577" s="126"/>
      <c r="Q577" s="126"/>
    </row>
    <row r="578" spans="1:17" ht="28.5" x14ac:dyDescent="0.75">
      <c r="A578" s="61" t="s">
        <v>1880</v>
      </c>
      <c r="B578" s="32" t="s">
        <v>954</v>
      </c>
      <c r="C578" s="32" t="s">
        <v>663</v>
      </c>
      <c r="D578" s="32" t="s">
        <v>135</v>
      </c>
      <c r="E578" s="32" t="s">
        <v>59</v>
      </c>
      <c r="F578" s="62">
        <v>0.1</v>
      </c>
      <c r="G578" s="62" t="s">
        <v>415</v>
      </c>
      <c r="H578" s="69" t="s">
        <v>432</v>
      </c>
      <c r="I578" s="69" t="s">
        <v>433</v>
      </c>
      <c r="J578" s="32">
        <v>3.1</v>
      </c>
      <c r="K578" s="63" t="s">
        <v>664</v>
      </c>
      <c r="L578" s="64" t="s">
        <v>552</v>
      </c>
      <c r="M578" s="64" t="s">
        <v>659</v>
      </c>
      <c r="O578" s="126"/>
      <c r="P578" s="126"/>
      <c r="Q578" s="126"/>
    </row>
    <row r="579" spans="1:17" ht="42.75" x14ac:dyDescent="0.75">
      <c r="A579" s="61" t="s">
        <v>1881</v>
      </c>
      <c r="B579" s="32" t="s">
        <v>956</v>
      </c>
      <c r="C579" s="32" t="s">
        <v>656</v>
      </c>
      <c r="D579" s="32" t="s">
        <v>135</v>
      </c>
      <c r="E579" s="32" t="s">
        <v>59</v>
      </c>
      <c r="F579" s="62">
        <v>0.1</v>
      </c>
      <c r="G579" s="62" t="s">
        <v>415</v>
      </c>
      <c r="H579" s="69" t="s">
        <v>429</v>
      </c>
      <c r="I579" s="69" t="s">
        <v>430</v>
      </c>
      <c r="J579" s="32">
        <v>2.1</v>
      </c>
      <c r="K579" s="63" t="s">
        <v>658</v>
      </c>
      <c r="L579" s="64" t="s">
        <v>493</v>
      </c>
      <c r="M579" s="64" t="s">
        <v>659</v>
      </c>
      <c r="N579" s="32" t="s">
        <v>801</v>
      </c>
      <c r="O579" s="126"/>
      <c r="P579" s="126"/>
      <c r="Q579" s="126"/>
    </row>
    <row r="580" spans="1:17" ht="42.75" x14ac:dyDescent="0.75">
      <c r="A580" s="61" t="s">
        <v>1882</v>
      </c>
      <c r="B580" s="32" t="s">
        <v>958</v>
      </c>
      <c r="C580" s="32" t="s">
        <v>663</v>
      </c>
      <c r="D580" s="32" t="s">
        <v>135</v>
      </c>
      <c r="E580" s="32" t="s">
        <v>59</v>
      </c>
      <c r="F580" s="62">
        <v>0.1</v>
      </c>
      <c r="G580" s="62" t="s">
        <v>415</v>
      </c>
      <c r="H580" s="69" t="s">
        <v>429</v>
      </c>
      <c r="I580" s="69" t="s">
        <v>430</v>
      </c>
      <c r="J580" s="32">
        <v>3.1</v>
      </c>
      <c r="K580" s="63" t="s">
        <v>664</v>
      </c>
      <c r="L580" s="64" t="s">
        <v>552</v>
      </c>
      <c r="M580" s="64" t="s">
        <v>659</v>
      </c>
      <c r="N580" s="32" t="s">
        <v>801</v>
      </c>
      <c r="O580" s="126"/>
      <c r="P580" s="126"/>
      <c r="Q580" s="126"/>
    </row>
    <row r="581" spans="1:17" ht="57" x14ac:dyDescent="0.75">
      <c r="A581" s="61" t="s">
        <v>1883</v>
      </c>
      <c r="B581" s="32" t="s">
        <v>1884</v>
      </c>
      <c r="C581" s="32" t="s">
        <v>656</v>
      </c>
      <c r="D581" s="79" t="s">
        <v>140</v>
      </c>
      <c r="E581" s="32" t="s">
        <v>59</v>
      </c>
      <c r="F581" s="69">
        <v>6.2</v>
      </c>
      <c r="G581" s="69" t="s">
        <v>603</v>
      </c>
      <c r="H581" s="69" t="s">
        <v>604</v>
      </c>
      <c r="I581" s="69" t="s">
        <v>1885</v>
      </c>
      <c r="J581" s="32">
        <v>2.1</v>
      </c>
      <c r="K581" s="63" t="s">
        <v>658</v>
      </c>
      <c r="L581" s="64" t="s">
        <v>493</v>
      </c>
      <c r="M581" s="64" t="s">
        <v>659</v>
      </c>
      <c r="O581" s="126"/>
      <c r="P581" s="126"/>
      <c r="Q581" s="126"/>
    </row>
    <row r="582" spans="1:17" ht="57" x14ac:dyDescent="0.75">
      <c r="A582" s="61" t="s">
        <v>1886</v>
      </c>
      <c r="B582" s="32" t="s">
        <v>1887</v>
      </c>
      <c r="C582" s="32" t="s">
        <v>663</v>
      </c>
      <c r="D582" s="79" t="s">
        <v>140</v>
      </c>
      <c r="E582" s="32" t="s">
        <v>59</v>
      </c>
      <c r="F582" s="69">
        <v>6.2</v>
      </c>
      <c r="G582" s="69" t="s">
        <v>603</v>
      </c>
      <c r="H582" s="69" t="s">
        <v>604</v>
      </c>
      <c r="I582" s="80" t="s">
        <v>1885</v>
      </c>
      <c r="J582" s="32">
        <v>3.1</v>
      </c>
      <c r="K582" s="63" t="s">
        <v>664</v>
      </c>
      <c r="L582" s="64" t="s">
        <v>552</v>
      </c>
      <c r="M582" s="64" t="s">
        <v>659</v>
      </c>
      <c r="O582" s="126"/>
      <c r="P582" s="126"/>
      <c r="Q582" s="126"/>
    </row>
    <row r="583" spans="1:17" ht="42.75" x14ac:dyDescent="0.75">
      <c r="A583" s="61" t="s">
        <v>1888</v>
      </c>
      <c r="B583" s="32" t="s">
        <v>1889</v>
      </c>
      <c r="C583" s="32" t="s">
        <v>656</v>
      </c>
      <c r="D583" s="79" t="s">
        <v>140</v>
      </c>
      <c r="E583" s="32" t="s">
        <v>59</v>
      </c>
      <c r="F583" s="69">
        <v>6.2</v>
      </c>
      <c r="G583" s="69" t="s">
        <v>603</v>
      </c>
      <c r="H583" s="69" t="s">
        <v>607</v>
      </c>
      <c r="I583" s="69" t="s">
        <v>1890</v>
      </c>
      <c r="J583" s="32">
        <v>2.1</v>
      </c>
      <c r="K583" s="63" t="s">
        <v>658</v>
      </c>
      <c r="L583" s="64" t="s">
        <v>493</v>
      </c>
      <c r="M583" s="64" t="s">
        <v>659</v>
      </c>
      <c r="O583" s="126"/>
      <c r="P583" s="126"/>
      <c r="Q583" s="126"/>
    </row>
    <row r="584" spans="1:17" ht="42.75" x14ac:dyDescent="0.75">
      <c r="A584" s="61" t="s">
        <v>1891</v>
      </c>
      <c r="B584" s="32" t="s">
        <v>1892</v>
      </c>
      <c r="C584" s="32" t="s">
        <v>663</v>
      </c>
      <c r="D584" s="79" t="s">
        <v>140</v>
      </c>
      <c r="E584" s="32" t="s">
        <v>59</v>
      </c>
      <c r="F584" s="69">
        <v>6.2</v>
      </c>
      <c r="G584" s="69" t="s">
        <v>603</v>
      </c>
      <c r="H584" s="69" t="s">
        <v>607</v>
      </c>
      <c r="I584" s="69" t="s">
        <v>1890</v>
      </c>
      <c r="J584" s="32">
        <v>3.1</v>
      </c>
      <c r="K584" s="63" t="s">
        <v>664</v>
      </c>
      <c r="L584" s="64" t="s">
        <v>552</v>
      </c>
      <c r="M584" s="64" t="s">
        <v>659</v>
      </c>
      <c r="O584" s="126"/>
      <c r="P584" s="126"/>
      <c r="Q584" s="126"/>
    </row>
    <row r="585" spans="1:17" ht="42.75" x14ac:dyDescent="0.75">
      <c r="A585" s="61" t="s">
        <v>1893</v>
      </c>
      <c r="B585" s="32" t="s">
        <v>1894</v>
      </c>
      <c r="C585" s="32" t="s">
        <v>656</v>
      </c>
      <c r="D585" s="79" t="s">
        <v>140</v>
      </c>
      <c r="E585" s="32" t="s">
        <v>59</v>
      </c>
      <c r="F585" s="69">
        <v>6.2</v>
      </c>
      <c r="G585" s="69" t="s">
        <v>603</v>
      </c>
      <c r="H585" s="69" t="s">
        <v>607</v>
      </c>
      <c r="I585" s="69" t="s">
        <v>1890</v>
      </c>
      <c r="J585" s="32">
        <v>2.1</v>
      </c>
      <c r="K585" s="63" t="s">
        <v>658</v>
      </c>
      <c r="L585" s="64" t="s">
        <v>493</v>
      </c>
      <c r="M585" s="64" t="s">
        <v>659</v>
      </c>
      <c r="O585" s="126"/>
      <c r="P585" s="126"/>
      <c r="Q585" s="126"/>
    </row>
    <row r="586" spans="1:17" ht="42.75" x14ac:dyDescent="0.75">
      <c r="A586" s="61" t="s">
        <v>1895</v>
      </c>
      <c r="B586" s="32" t="s">
        <v>1896</v>
      </c>
      <c r="C586" s="32" t="s">
        <v>663</v>
      </c>
      <c r="D586" s="79" t="s">
        <v>140</v>
      </c>
      <c r="E586" s="32" t="s">
        <v>59</v>
      </c>
      <c r="F586" s="69">
        <v>6.2</v>
      </c>
      <c r="G586" s="69" t="s">
        <v>603</v>
      </c>
      <c r="H586" s="69" t="s">
        <v>607</v>
      </c>
      <c r="I586" s="69" t="s">
        <v>1890</v>
      </c>
      <c r="J586" s="32">
        <v>3.1</v>
      </c>
      <c r="K586" s="63" t="s">
        <v>664</v>
      </c>
      <c r="L586" s="64" t="s">
        <v>552</v>
      </c>
      <c r="M586" s="64" t="s">
        <v>659</v>
      </c>
      <c r="O586" s="126"/>
      <c r="P586" s="126"/>
      <c r="Q586" s="126"/>
    </row>
    <row r="587" spans="1:17" ht="42.75" x14ac:dyDescent="0.75">
      <c r="A587" s="61" t="s">
        <v>1897</v>
      </c>
      <c r="B587" s="32" t="s">
        <v>1898</v>
      </c>
      <c r="C587" s="32" t="s">
        <v>663</v>
      </c>
      <c r="D587" s="79" t="s">
        <v>140</v>
      </c>
      <c r="E587" s="32" t="s">
        <v>58</v>
      </c>
      <c r="F587" s="69">
        <v>6.2</v>
      </c>
      <c r="G587" s="69" t="s">
        <v>603</v>
      </c>
      <c r="H587" s="69" t="s">
        <v>607</v>
      </c>
      <c r="I587" s="69" t="s">
        <v>1890</v>
      </c>
      <c r="J587" s="32">
        <v>6.1</v>
      </c>
      <c r="K587" s="63" t="s">
        <v>66</v>
      </c>
      <c r="L587" s="62" t="s">
        <v>597</v>
      </c>
      <c r="M587" s="64" t="s">
        <v>676</v>
      </c>
      <c r="O587" s="126"/>
      <c r="P587" s="126"/>
      <c r="Q587" s="126"/>
    </row>
    <row r="588" spans="1:17" ht="42.75" x14ac:dyDescent="0.75">
      <c r="A588" s="61" t="s">
        <v>1899</v>
      </c>
      <c r="B588" s="32" t="s">
        <v>1900</v>
      </c>
      <c r="C588" s="32" t="s">
        <v>663</v>
      </c>
      <c r="D588" s="79" t="s">
        <v>140</v>
      </c>
      <c r="E588" s="32" t="s">
        <v>58</v>
      </c>
      <c r="F588" s="69">
        <v>6.2</v>
      </c>
      <c r="G588" s="69" t="s">
        <v>603</v>
      </c>
      <c r="H588" s="69" t="s">
        <v>607</v>
      </c>
      <c r="I588" s="69" t="s">
        <v>1890</v>
      </c>
      <c r="J588" s="32">
        <v>6.1</v>
      </c>
      <c r="K588" s="63" t="s">
        <v>66</v>
      </c>
      <c r="L588" s="62" t="s">
        <v>600</v>
      </c>
      <c r="M588" s="62" t="s">
        <v>659</v>
      </c>
      <c r="O588" s="126"/>
      <c r="P588" s="126"/>
      <c r="Q588" s="126"/>
    </row>
    <row r="589" spans="1:17" ht="128.25" x14ac:dyDescent="0.75">
      <c r="A589" s="61" t="s">
        <v>1901</v>
      </c>
      <c r="B589" s="32" t="s">
        <v>1902</v>
      </c>
      <c r="C589" s="32" t="s">
        <v>1903</v>
      </c>
      <c r="D589" s="32" t="s">
        <v>140</v>
      </c>
      <c r="E589" s="32" t="s">
        <v>59</v>
      </c>
      <c r="F589" s="69">
        <v>6.2</v>
      </c>
      <c r="G589" s="69" t="s">
        <v>603</v>
      </c>
      <c r="H589" s="69" t="s">
        <v>607</v>
      </c>
      <c r="I589" s="69" t="s">
        <v>1890</v>
      </c>
      <c r="J589" s="32">
        <v>2.1</v>
      </c>
      <c r="K589" s="63" t="s">
        <v>658</v>
      </c>
      <c r="L589" s="64" t="s">
        <v>493</v>
      </c>
      <c r="M589" s="64" t="s">
        <v>659</v>
      </c>
      <c r="O589" s="65"/>
      <c r="P589" s="65"/>
      <c r="Q589" s="65"/>
    </row>
    <row r="590" spans="1:17" ht="85.5" x14ac:dyDescent="0.75">
      <c r="A590" s="61" t="s">
        <v>1904</v>
      </c>
      <c r="B590" s="32" t="s">
        <v>1905</v>
      </c>
      <c r="C590" s="32" t="s">
        <v>1906</v>
      </c>
      <c r="D590" s="32" t="s">
        <v>140</v>
      </c>
      <c r="E590" s="32" t="s">
        <v>59</v>
      </c>
      <c r="F590" s="69">
        <v>6.2</v>
      </c>
      <c r="G590" s="69" t="s">
        <v>603</v>
      </c>
      <c r="H590" s="69" t="s">
        <v>607</v>
      </c>
      <c r="I590" s="69" t="s">
        <v>1890</v>
      </c>
      <c r="J590" s="32">
        <v>3.1</v>
      </c>
      <c r="K590" s="63" t="s">
        <v>664</v>
      </c>
      <c r="L590" s="64" t="s">
        <v>552</v>
      </c>
      <c r="M590" s="64" t="s">
        <v>659</v>
      </c>
      <c r="O590" s="65"/>
      <c r="P590" s="65"/>
      <c r="Q590" s="65"/>
    </row>
    <row r="591" spans="1:17" ht="128.25" x14ac:dyDescent="0.75">
      <c r="A591" s="61" t="s">
        <v>1907</v>
      </c>
      <c r="B591" s="32" t="s">
        <v>1908</v>
      </c>
      <c r="C591" s="32" t="s">
        <v>1903</v>
      </c>
      <c r="D591" s="32" t="s">
        <v>140</v>
      </c>
      <c r="E591" s="32" t="s">
        <v>59</v>
      </c>
      <c r="F591" s="69">
        <v>6.2</v>
      </c>
      <c r="G591" s="69" t="s">
        <v>603</v>
      </c>
      <c r="H591" s="69" t="s">
        <v>607</v>
      </c>
      <c r="I591" s="69" t="s">
        <v>1890</v>
      </c>
      <c r="J591" s="32">
        <v>2.1</v>
      </c>
      <c r="K591" s="63" t="s">
        <v>658</v>
      </c>
      <c r="L591" s="64" t="s">
        <v>493</v>
      </c>
      <c r="M591" s="64" t="s">
        <v>659</v>
      </c>
      <c r="O591" s="65"/>
      <c r="P591" s="65"/>
      <c r="Q591" s="65"/>
    </row>
    <row r="592" spans="1:17" ht="85.5" x14ac:dyDescent="0.75">
      <c r="A592" s="61" t="s">
        <v>1909</v>
      </c>
      <c r="B592" s="32" t="s">
        <v>1910</v>
      </c>
      <c r="C592" s="32" t="s">
        <v>1906</v>
      </c>
      <c r="D592" s="32" t="s">
        <v>140</v>
      </c>
      <c r="E592" s="32" t="s">
        <v>59</v>
      </c>
      <c r="F592" s="69">
        <v>6.2</v>
      </c>
      <c r="G592" s="69" t="s">
        <v>603</v>
      </c>
      <c r="H592" s="69" t="s">
        <v>607</v>
      </c>
      <c r="I592" s="69" t="s">
        <v>1890</v>
      </c>
      <c r="J592" s="32">
        <v>3.1</v>
      </c>
      <c r="K592" s="63" t="s">
        <v>664</v>
      </c>
      <c r="L592" s="64" t="s">
        <v>552</v>
      </c>
      <c r="M592" s="64" t="s">
        <v>659</v>
      </c>
      <c r="O592" s="65"/>
      <c r="P592" s="65"/>
      <c r="Q592" s="65"/>
    </row>
    <row r="593" spans="1:17" ht="128.25" x14ac:dyDescent="0.75">
      <c r="A593" s="61" t="s">
        <v>1911</v>
      </c>
      <c r="B593" s="32" t="s">
        <v>1912</v>
      </c>
      <c r="C593" s="32" t="s">
        <v>1913</v>
      </c>
      <c r="D593" s="32" t="s">
        <v>140</v>
      </c>
      <c r="E593" s="32" t="s">
        <v>59</v>
      </c>
      <c r="F593" s="69">
        <v>6.2</v>
      </c>
      <c r="G593" s="69" t="s">
        <v>603</v>
      </c>
      <c r="H593" s="69" t="s">
        <v>607</v>
      </c>
      <c r="I593" s="69" t="s">
        <v>1890</v>
      </c>
      <c r="J593" s="32">
        <v>2.1</v>
      </c>
      <c r="K593" s="63" t="s">
        <v>658</v>
      </c>
      <c r="L593" s="64" t="s">
        <v>493</v>
      </c>
      <c r="M593" s="64" t="s">
        <v>659</v>
      </c>
      <c r="O593" s="65"/>
      <c r="P593" s="65"/>
      <c r="Q593" s="65"/>
    </row>
    <row r="594" spans="1:17" ht="85.5" x14ac:dyDescent="0.75">
      <c r="A594" s="61" t="s">
        <v>1914</v>
      </c>
      <c r="B594" s="32" t="s">
        <v>1915</v>
      </c>
      <c r="C594" s="32" t="s">
        <v>1906</v>
      </c>
      <c r="D594" s="32" t="s">
        <v>140</v>
      </c>
      <c r="E594" s="32" t="s">
        <v>59</v>
      </c>
      <c r="F594" s="69">
        <v>6.2</v>
      </c>
      <c r="G594" s="69" t="s">
        <v>603</v>
      </c>
      <c r="H594" s="69" t="s">
        <v>607</v>
      </c>
      <c r="I594" s="69" t="s">
        <v>1890</v>
      </c>
      <c r="J594" s="32">
        <v>3.1</v>
      </c>
      <c r="K594" s="63" t="s">
        <v>664</v>
      </c>
      <c r="L594" s="64" t="s">
        <v>552</v>
      </c>
      <c r="M594" s="64" t="s">
        <v>659</v>
      </c>
      <c r="O594" s="65"/>
      <c r="P594" s="65"/>
      <c r="Q594" s="65"/>
    </row>
    <row r="595" spans="1:17" ht="85.5" x14ac:dyDescent="0.75">
      <c r="A595" s="61" t="s">
        <v>1916</v>
      </c>
      <c r="B595" s="32" t="s">
        <v>1917</v>
      </c>
      <c r="C595" s="32" t="s">
        <v>1906</v>
      </c>
      <c r="D595" s="32" t="s">
        <v>140</v>
      </c>
      <c r="E595" s="32" t="s">
        <v>58</v>
      </c>
      <c r="F595" s="69">
        <v>6.2</v>
      </c>
      <c r="G595" s="69" t="s">
        <v>603</v>
      </c>
      <c r="H595" s="69" t="s">
        <v>607</v>
      </c>
      <c r="I595" s="69" t="s">
        <v>1890</v>
      </c>
      <c r="J595" s="32">
        <v>6.1</v>
      </c>
      <c r="K595" s="63" t="s">
        <v>66</v>
      </c>
      <c r="L595" s="62" t="s">
        <v>597</v>
      </c>
      <c r="M595" s="64" t="s">
        <v>676</v>
      </c>
      <c r="O595" s="65"/>
      <c r="P595" s="65"/>
      <c r="Q595" s="65"/>
    </row>
    <row r="596" spans="1:17" s="72" customFormat="1" ht="85.5" x14ac:dyDescent="0.75">
      <c r="A596" s="61" t="s">
        <v>1918</v>
      </c>
      <c r="B596" s="32" t="s">
        <v>1919</v>
      </c>
      <c r="C596" s="32" t="s">
        <v>1906</v>
      </c>
      <c r="D596" s="32" t="s">
        <v>140</v>
      </c>
      <c r="E596" s="32" t="s">
        <v>58</v>
      </c>
      <c r="F596" s="69">
        <v>6.2</v>
      </c>
      <c r="G596" s="69" t="s">
        <v>603</v>
      </c>
      <c r="H596" s="69" t="s">
        <v>607</v>
      </c>
      <c r="I596" s="69" t="s">
        <v>1890</v>
      </c>
      <c r="J596" s="32">
        <v>6.1</v>
      </c>
      <c r="K596" s="63" t="s">
        <v>66</v>
      </c>
      <c r="L596" s="62" t="s">
        <v>600</v>
      </c>
      <c r="M596" s="62" t="s">
        <v>659</v>
      </c>
      <c r="N596" s="32"/>
      <c r="O596" s="177"/>
      <c r="P596" s="177"/>
      <c r="Q596" s="177"/>
    </row>
    <row r="597" spans="1:17" ht="85.5" x14ac:dyDescent="0.75">
      <c r="A597" s="61" t="s">
        <v>1920</v>
      </c>
      <c r="B597" s="32" t="s">
        <v>1921</v>
      </c>
      <c r="C597" s="32" t="s">
        <v>1906</v>
      </c>
      <c r="D597" s="32" t="s">
        <v>140</v>
      </c>
      <c r="E597" s="32" t="s">
        <v>58</v>
      </c>
      <c r="F597" s="69">
        <v>6.2</v>
      </c>
      <c r="G597" s="69" t="s">
        <v>603</v>
      </c>
      <c r="H597" s="69" t="s">
        <v>607</v>
      </c>
      <c r="I597" s="69" t="s">
        <v>1890</v>
      </c>
      <c r="J597" s="62">
        <v>5.0999999999999996</v>
      </c>
      <c r="K597" s="73" t="s">
        <v>65</v>
      </c>
      <c r="L597" s="62" t="s">
        <v>1117</v>
      </c>
      <c r="M597" s="62" t="s">
        <v>659</v>
      </c>
      <c r="O597" s="65"/>
      <c r="P597" s="65"/>
      <c r="Q597" s="65"/>
    </row>
    <row r="598" spans="1:17" s="72" customFormat="1" ht="85.5" x14ac:dyDescent="0.75">
      <c r="A598" s="61" t="s">
        <v>1922</v>
      </c>
      <c r="B598" s="32" t="s">
        <v>1923</v>
      </c>
      <c r="C598" s="32" t="s">
        <v>1906</v>
      </c>
      <c r="D598" s="32" t="s">
        <v>140</v>
      </c>
      <c r="E598" s="32" t="s">
        <v>58</v>
      </c>
      <c r="F598" s="69">
        <v>6.2</v>
      </c>
      <c r="G598" s="69" t="s">
        <v>603</v>
      </c>
      <c r="H598" s="69" t="s">
        <v>607</v>
      </c>
      <c r="I598" s="69" t="s">
        <v>1890</v>
      </c>
      <c r="J598" s="62">
        <v>5.0999999999999996</v>
      </c>
      <c r="K598" s="73" t="s">
        <v>65</v>
      </c>
      <c r="L598" s="62" t="s">
        <v>1120</v>
      </c>
      <c r="M598" s="62" t="s">
        <v>659</v>
      </c>
      <c r="N598" s="32"/>
      <c r="O598" s="177"/>
      <c r="P598" s="177"/>
      <c r="Q598" s="177"/>
    </row>
    <row r="599" spans="1:17" ht="85.5" x14ac:dyDescent="0.75">
      <c r="A599" s="61" t="s">
        <v>1924</v>
      </c>
      <c r="B599" s="32" t="s">
        <v>1925</v>
      </c>
      <c r="C599" s="32" t="s">
        <v>1906</v>
      </c>
      <c r="D599" s="32" t="s">
        <v>140</v>
      </c>
      <c r="E599" s="32" t="s">
        <v>58</v>
      </c>
      <c r="F599" s="69">
        <v>6.2</v>
      </c>
      <c r="G599" s="69" t="s">
        <v>603</v>
      </c>
      <c r="H599" s="69" t="s">
        <v>607</v>
      </c>
      <c r="I599" s="69" t="s">
        <v>1890</v>
      </c>
      <c r="J599" s="62">
        <v>9.1</v>
      </c>
      <c r="K599" s="62" t="s">
        <v>1028</v>
      </c>
      <c r="L599" s="62" t="s">
        <v>1029</v>
      </c>
      <c r="M599" s="62" t="s">
        <v>1030</v>
      </c>
      <c r="O599" s="65"/>
      <c r="P599" s="65"/>
      <c r="Q599" s="65"/>
    </row>
    <row r="600" spans="1:17" ht="85.5" x14ac:dyDescent="0.75">
      <c r="A600" s="61" t="s">
        <v>1926</v>
      </c>
      <c r="B600" s="32" t="s">
        <v>1927</v>
      </c>
      <c r="C600" s="32" t="s">
        <v>1928</v>
      </c>
      <c r="D600" s="32" t="s">
        <v>140</v>
      </c>
      <c r="E600" s="32" t="s">
        <v>59</v>
      </c>
      <c r="F600" s="71">
        <v>2.2999999999999998</v>
      </c>
      <c r="G600" s="71" t="s">
        <v>525</v>
      </c>
      <c r="H600" s="71" t="s">
        <v>527</v>
      </c>
      <c r="I600" s="32" t="s">
        <v>528</v>
      </c>
      <c r="J600" s="32">
        <v>2.1</v>
      </c>
      <c r="K600" s="63" t="s">
        <v>658</v>
      </c>
      <c r="L600" s="64" t="s">
        <v>493</v>
      </c>
      <c r="M600" s="64" t="s">
        <v>659</v>
      </c>
      <c r="O600" s="65"/>
      <c r="P600" s="65"/>
      <c r="Q600" s="65"/>
    </row>
    <row r="601" spans="1:17" ht="42.75" x14ac:dyDescent="0.75">
      <c r="A601" s="61" t="s">
        <v>1929</v>
      </c>
      <c r="B601" s="32" t="s">
        <v>1930</v>
      </c>
      <c r="C601" s="32" t="s">
        <v>1931</v>
      </c>
      <c r="D601" s="32" t="s">
        <v>140</v>
      </c>
      <c r="E601" s="32" t="s">
        <v>59</v>
      </c>
      <c r="F601" s="71">
        <v>2.2999999999999998</v>
      </c>
      <c r="G601" s="71" t="s">
        <v>525</v>
      </c>
      <c r="H601" s="71" t="s">
        <v>527</v>
      </c>
      <c r="I601" s="32" t="s">
        <v>528</v>
      </c>
      <c r="J601" s="32">
        <v>3.1</v>
      </c>
      <c r="K601" s="63" t="s">
        <v>664</v>
      </c>
      <c r="L601" s="64" t="s">
        <v>552</v>
      </c>
      <c r="M601" s="64" t="s">
        <v>659</v>
      </c>
      <c r="O601" s="65"/>
      <c r="P601" s="65"/>
      <c r="Q601" s="65"/>
    </row>
    <row r="602" spans="1:17" ht="42.75" x14ac:dyDescent="0.75">
      <c r="A602" s="61" t="s">
        <v>1932</v>
      </c>
      <c r="B602" s="32" t="s">
        <v>1933</v>
      </c>
      <c r="C602" s="32" t="s">
        <v>656</v>
      </c>
      <c r="D602" s="32" t="s">
        <v>140</v>
      </c>
      <c r="E602" s="32" t="s">
        <v>59</v>
      </c>
      <c r="F602" s="69">
        <v>6.2</v>
      </c>
      <c r="G602" s="69" t="s">
        <v>603</v>
      </c>
      <c r="H602" s="69" t="s">
        <v>607</v>
      </c>
      <c r="I602" s="69" t="s">
        <v>1890</v>
      </c>
      <c r="J602" s="32">
        <v>2.1</v>
      </c>
      <c r="K602" s="63" t="s">
        <v>658</v>
      </c>
      <c r="L602" s="64" t="s">
        <v>493</v>
      </c>
      <c r="M602" s="64" t="s">
        <v>659</v>
      </c>
      <c r="O602" s="126"/>
      <c r="P602" s="126"/>
      <c r="Q602" s="126"/>
    </row>
    <row r="603" spans="1:17" ht="42.75" x14ac:dyDescent="0.75">
      <c r="A603" s="61" t="s">
        <v>1934</v>
      </c>
      <c r="B603" s="32" t="s">
        <v>1935</v>
      </c>
      <c r="C603" s="32" t="s">
        <v>663</v>
      </c>
      <c r="D603" s="32" t="s">
        <v>140</v>
      </c>
      <c r="E603" s="32" t="s">
        <v>59</v>
      </c>
      <c r="F603" s="69">
        <v>6.2</v>
      </c>
      <c r="G603" s="69" t="s">
        <v>603</v>
      </c>
      <c r="H603" s="69" t="s">
        <v>607</v>
      </c>
      <c r="I603" s="69" t="s">
        <v>1890</v>
      </c>
      <c r="J603" s="32">
        <v>3.1</v>
      </c>
      <c r="K603" s="63" t="s">
        <v>664</v>
      </c>
      <c r="L603" s="64" t="s">
        <v>552</v>
      </c>
      <c r="M603" s="64" t="s">
        <v>659</v>
      </c>
      <c r="O603" s="126"/>
      <c r="P603" s="126"/>
      <c r="Q603" s="126"/>
    </row>
    <row r="604" spans="1:17" ht="42.75" x14ac:dyDescent="0.75">
      <c r="A604" s="61" t="s">
        <v>1936</v>
      </c>
      <c r="B604" s="32" t="s">
        <v>1937</v>
      </c>
      <c r="C604" s="32" t="s">
        <v>656</v>
      </c>
      <c r="D604" s="32" t="s">
        <v>140</v>
      </c>
      <c r="E604" s="32" t="s">
        <v>59</v>
      </c>
      <c r="F604" s="69">
        <v>6.2</v>
      </c>
      <c r="G604" s="69" t="s">
        <v>603</v>
      </c>
      <c r="H604" s="69" t="s">
        <v>607</v>
      </c>
      <c r="I604" s="69" t="s">
        <v>1890</v>
      </c>
      <c r="J604" s="32">
        <v>2.1</v>
      </c>
      <c r="K604" s="63" t="s">
        <v>658</v>
      </c>
      <c r="L604" s="64" t="s">
        <v>493</v>
      </c>
      <c r="M604" s="64" t="s">
        <v>659</v>
      </c>
      <c r="O604" s="126"/>
      <c r="P604" s="126"/>
      <c r="Q604" s="126"/>
    </row>
    <row r="605" spans="1:17" ht="42.75" x14ac:dyDescent="0.75">
      <c r="A605" s="61" t="s">
        <v>1938</v>
      </c>
      <c r="B605" s="32" t="s">
        <v>1939</v>
      </c>
      <c r="C605" s="32" t="s">
        <v>663</v>
      </c>
      <c r="D605" s="32" t="s">
        <v>140</v>
      </c>
      <c r="E605" s="32" t="s">
        <v>59</v>
      </c>
      <c r="F605" s="69">
        <v>6.2</v>
      </c>
      <c r="G605" s="69" t="s">
        <v>603</v>
      </c>
      <c r="H605" s="69" t="s">
        <v>607</v>
      </c>
      <c r="I605" s="69" t="s">
        <v>1890</v>
      </c>
      <c r="J605" s="32">
        <v>3.1</v>
      </c>
      <c r="K605" s="63" t="s">
        <v>664</v>
      </c>
      <c r="L605" s="64" t="s">
        <v>552</v>
      </c>
      <c r="M605" s="64" t="s">
        <v>659</v>
      </c>
      <c r="O605" s="126"/>
      <c r="P605" s="126"/>
      <c r="Q605" s="126"/>
    </row>
    <row r="606" spans="1:17" ht="57" x14ac:dyDescent="0.75">
      <c r="A606" s="61" t="s">
        <v>1940</v>
      </c>
      <c r="B606" s="32" t="s">
        <v>1941</v>
      </c>
      <c r="C606" s="32" t="s">
        <v>663</v>
      </c>
      <c r="D606" s="32" t="s">
        <v>140</v>
      </c>
      <c r="E606" s="32" t="s">
        <v>58</v>
      </c>
      <c r="F606" s="69">
        <v>6.1</v>
      </c>
      <c r="G606" s="69" t="s">
        <v>593</v>
      </c>
      <c r="H606" s="69" t="s">
        <v>600</v>
      </c>
      <c r="I606" s="69" t="s">
        <v>1942</v>
      </c>
      <c r="J606" s="32">
        <v>8.1</v>
      </c>
      <c r="K606" s="63" t="s">
        <v>932</v>
      </c>
      <c r="L606" s="32" t="s">
        <v>933</v>
      </c>
      <c r="M606" s="62" t="s">
        <v>932</v>
      </c>
      <c r="O606" s="126"/>
      <c r="P606" s="126"/>
      <c r="Q606" s="126"/>
    </row>
    <row r="607" spans="1:17" ht="57" x14ac:dyDescent="0.75">
      <c r="A607" s="61" t="s">
        <v>1943</v>
      </c>
      <c r="B607" s="32" t="s">
        <v>1944</v>
      </c>
      <c r="C607" s="32" t="s">
        <v>663</v>
      </c>
      <c r="D607" s="32" t="s">
        <v>140</v>
      </c>
      <c r="E607" s="32" t="s">
        <v>58</v>
      </c>
      <c r="F607" s="69">
        <v>6.1</v>
      </c>
      <c r="G607" s="69" t="s">
        <v>593</v>
      </c>
      <c r="H607" s="69" t="s">
        <v>600</v>
      </c>
      <c r="I607" s="69" t="s">
        <v>1942</v>
      </c>
      <c r="J607" s="32">
        <v>8.1</v>
      </c>
      <c r="K607" s="63" t="s">
        <v>932</v>
      </c>
      <c r="L607" s="32" t="s">
        <v>933</v>
      </c>
      <c r="M607" s="62" t="s">
        <v>932</v>
      </c>
      <c r="O607" s="126"/>
      <c r="P607" s="126"/>
      <c r="Q607" s="126"/>
    </row>
    <row r="608" spans="1:17" ht="57" x14ac:dyDescent="0.75">
      <c r="A608" s="61" t="s">
        <v>1945</v>
      </c>
      <c r="B608" s="32" t="s">
        <v>1946</v>
      </c>
      <c r="C608" s="32" t="s">
        <v>663</v>
      </c>
      <c r="D608" s="32" t="s">
        <v>140</v>
      </c>
      <c r="E608" s="32" t="s">
        <v>58</v>
      </c>
      <c r="F608" s="69">
        <v>6.1</v>
      </c>
      <c r="G608" s="69" t="s">
        <v>593</v>
      </c>
      <c r="H608" s="69" t="s">
        <v>600</v>
      </c>
      <c r="I608" s="69" t="s">
        <v>1942</v>
      </c>
      <c r="J608" s="32">
        <v>8.1</v>
      </c>
      <c r="K608" s="63" t="s">
        <v>932</v>
      </c>
      <c r="L608" s="32" t="s">
        <v>933</v>
      </c>
      <c r="M608" s="62" t="s">
        <v>932</v>
      </c>
      <c r="O608" s="126"/>
      <c r="P608" s="126"/>
      <c r="Q608" s="126"/>
    </row>
    <row r="609" spans="1:17" ht="57" x14ac:dyDescent="0.75">
      <c r="A609" s="61" t="s">
        <v>1947</v>
      </c>
      <c r="B609" s="32" t="s">
        <v>944</v>
      </c>
      <c r="C609" s="32" t="s">
        <v>656</v>
      </c>
      <c r="D609" s="32" t="s">
        <v>140</v>
      </c>
      <c r="E609" s="32" t="s">
        <v>59</v>
      </c>
      <c r="F609" s="69">
        <v>6.2</v>
      </c>
      <c r="G609" s="69" t="s">
        <v>603</v>
      </c>
      <c r="H609" s="69" t="s">
        <v>604</v>
      </c>
      <c r="I609" s="69" t="s">
        <v>1885</v>
      </c>
      <c r="J609" s="32">
        <v>2.1</v>
      </c>
      <c r="K609" s="63" t="s">
        <v>658</v>
      </c>
      <c r="L609" s="64" t="s">
        <v>493</v>
      </c>
      <c r="M609" s="64" t="s">
        <v>659</v>
      </c>
      <c r="N609" s="32" t="s">
        <v>767</v>
      </c>
      <c r="O609" s="126"/>
      <c r="P609" s="126"/>
      <c r="Q609" s="126"/>
    </row>
    <row r="610" spans="1:17" ht="57" x14ac:dyDescent="0.75">
      <c r="A610" s="61" t="s">
        <v>1948</v>
      </c>
      <c r="B610" s="32" t="s">
        <v>946</v>
      </c>
      <c r="C610" s="32" t="s">
        <v>663</v>
      </c>
      <c r="D610" s="32" t="s">
        <v>140</v>
      </c>
      <c r="E610" s="32" t="s">
        <v>59</v>
      </c>
      <c r="F610" s="69">
        <v>6.2</v>
      </c>
      <c r="G610" s="69" t="s">
        <v>603</v>
      </c>
      <c r="H610" s="69" t="s">
        <v>604</v>
      </c>
      <c r="I610" s="69" t="s">
        <v>1885</v>
      </c>
      <c r="J610" s="32">
        <v>3.1</v>
      </c>
      <c r="K610" s="63" t="s">
        <v>664</v>
      </c>
      <c r="L610" s="64" t="s">
        <v>552</v>
      </c>
      <c r="M610" s="64" t="s">
        <v>659</v>
      </c>
      <c r="N610" s="32" t="s">
        <v>767</v>
      </c>
      <c r="O610" s="126"/>
      <c r="P610" s="126"/>
      <c r="Q610" s="126"/>
    </row>
    <row r="611" spans="1:17" ht="42.75" x14ac:dyDescent="0.75">
      <c r="A611" s="61" t="s">
        <v>1949</v>
      </c>
      <c r="B611" s="32" t="s">
        <v>948</v>
      </c>
      <c r="C611" s="32" t="s">
        <v>656</v>
      </c>
      <c r="D611" s="32" t="s">
        <v>140</v>
      </c>
      <c r="E611" s="32" t="s">
        <v>59</v>
      </c>
      <c r="F611" s="69">
        <v>6.4</v>
      </c>
      <c r="G611" s="69" t="s">
        <v>626</v>
      </c>
      <c r="H611" s="69" t="s">
        <v>636</v>
      </c>
      <c r="I611" s="69" t="s">
        <v>637</v>
      </c>
      <c r="J611" s="32">
        <v>2.1</v>
      </c>
      <c r="K611" s="63" t="s">
        <v>658</v>
      </c>
      <c r="L611" s="64" t="s">
        <v>493</v>
      </c>
      <c r="M611" s="64" t="s">
        <v>659</v>
      </c>
      <c r="O611" s="126"/>
      <c r="P611" s="126"/>
      <c r="Q611" s="126"/>
    </row>
    <row r="612" spans="1:17" ht="42.75" x14ac:dyDescent="0.75">
      <c r="A612" s="61" t="s">
        <v>1950</v>
      </c>
      <c r="B612" s="32" t="s">
        <v>950</v>
      </c>
      <c r="C612" s="32" t="s">
        <v>663</v>
      </c>
      <c r="D612" s="32" t="s">
        <v>140</v>
      </c>
      <c r="E612" s="32" t="s">
        <v>59</v>
      </c>
      <c r="F612" s="69">
        <v>6.4</v>
      </c>
      <c r="G612" s="69" t="s">
        <v>626</v>
      </c>
      <c r="H612" s="69" t="s">
        <v>636</v>
      </c>
      <c r="I612" s="69" t="s">
        <v>637</v>
      </c>
      <c r="J612" s="32">
        <v>3.1</v>
      </c>
      <c r="K612" s="63" t="s">
        <v>664</v>
      </c>
      <c r="L612" s="64" t="s">
        <v>552</v>
      </c>
      <c r="M612" s="64" t="s">
        <v>659</v>
      </c>
      <c r="O612" s="126"/>
      <c r="P612" s="126"/>
      <c r="Q612" s="126"/>
    </row>
    <row r="613" spans="1:17" ht="42.75" x14ac:dyDescent="0.75">
      <c r="A613" s="61" t="s">
        <v>1951</v>
      </c>
      <c r="B613" s="32" t="s">
        <v>952</v>
      </c>
      <c r="C613" s="32" t="s">
        <v>656</v>
      </c>
      <c r="D613" s="32" t="s">
        <v>140</v>
      </c>
      <c r="E613" s="32" t="s">
        <v>59</v>
      </c>
      <c r="F613" s="69">
        <v>6.4</v>
      </c>
      <c r="G613" s="69" t="s">
        <v>626</v>
      </c>
      <c r="H613" s="69" t="s">
        <v>639</v>
      </c>
      <c r="I613" s="69" t="s">
        <v>640</v>
      </c>
      <c r="J613" s="32">
        <v>2.1</v>
      </c>
      <c r="K613" s="63" t="s">
        <v>658</v>
      </c>
      <c r="L613" s="64" t="s">
        <v>493</v>
      </c>
      <c r="M613" s="64" t="s">
        <v>659</v>
      </c>
      <c r="O613" s="126"/>
      <c r="P613" s="126"/>
      <c r="Q613" s="126"/>
    </row>
    <row r="614" spans="1:17" ht="42.75" x14ac:dyDescent="0.75">
      <c r="A614" s="61" t="s">
        <v>1952</v>
      </c>
      <c r="B614" s="32" t="s">
        <v>954</v>
      </c>
      <c r="C614" s="32" t="s">
        <v>663</v>
      </c>
      <c r="D614" s="32" t="s">
        <v>140</v>
      </c>
      <c r="E614" s="32" t="s">
        <v>59</v>
      </c>
      <c r="F614" s="69">
        <v>6.4</v>
      </c>
      <c r="G614" s="69" t="s">
        <v>626</v>
      </c>
      <c r="H614" s="69" t="s">
        <v>639</v>
      </c>
      <c r="I614" s="69" t="s">
        <v>640</v>
      </c>
      <c r="J614" s="32">
        <v>3.1</v>
      </c>
      <c r="K614" s="63" t="s">
        <v>664</v>
      </c>
      <c r="L614" s="64" t="s">
        <v>552</v>
      </c>
      <c r="M614" s="64" t="s">
        <v>659</v>
      </c>
      <c r="O614" s="126"/>
      <c r="P614" s="126"/>
      <c r="Q614" s="126"/>
    </row>
    <row r="615" spans="1:17" ht="42.75" x14ac:dyDescent="0.75">
      <c r="A615" s="61" t="s">
        <v>1953</v>
      </c>
      <c r="B615" s="32" t="s">
        <v>956</v>
      </c>
      <c r="C615" s="32" t="s">
        <v>656</v>
      </c>
      <c r="D615" s="32" t="s">
        <v>140</v>
      </c>
      <c r="E615" s="32" t="s">
        <v>59</v>
      </c>
      <c r="F615" s="69">
        <v>6.4</v>
      </c>
      <c r="G615" s="69" t="s">
        <v>626</v>
      </c>
      <c r="H615" s="69" t="s">
        <v>636</v>
      </c>
      <c r="I615" s="69" t="s">
        <v>637</v>
      </c>
      <c r="J615" s="32">
        <v>2.1</v>
      </c>
      <c r="K615" s="63" t="s">
        <v>658</v>
      </c>
      <c r="L615" s="64" t="s">
        <v>493</v>
      </c>
      <c r="M615" s="64" t="s">
        <v>659</v>
      </c>
      <c r="N615" s="32" t="s">
        <v>801</v>
      </c>
      <c r="O615" s="126"/>
      <c r="P615" s="126"/>
      <c r="Q615" s="126"/>
    </row>
    <row r="616" spans="1:17" ht="42.75" x14ac:dyDescent="0.75">
      <c r="A616" s="61" t="s">
        <v>1954</v>
      </c>
      <c r="B616" s="32" t="s">
        <v>958</v>
      </c>
      <c r="C616" s="32" t="s">
        <v>663</v>
      </c>
      <c r="D616" s="32" t="s">
        <v>140</v>
      </c>
      <c r="E616" s="32" t="s">
        <v>59</v>
      </c>
      <c r="F616" s="69">
        <v>6.4</v>
      </c>
      <c r="G616" s="69" t="s">
        <v>626</v>
      </c>
      <c r="H616" s="69" t="s">
        <v>636</v>
      </c>
      <c r="I616" s="69" t="s">
        <v>637</v>
      </c>
      <c r="J616" s="32">
        <v>3.1</v>
      </c>
      <c r="K616" s="63" t="s">
        <v>664</v>
      </c>
      <c r="L616" s="64" t="s">
        <v>552</v>
      </c>
      <c r="M616" s="64" t="s">
        <v>659</v>
      </c>
      <c r="N616" s="32" t="s">
        <v>801</v>
      </c>
      <c r="O616" s="126"/>
      <c r="P616" s="126"/>
      <c r="Q616" s="126"/>
    </row>
    <row r="617" spans="1:17" ht="57" x14ac:dyDescent="0.75">
      <c r="A617" s="61" t="s">
        <v>1955</v>
      </c>
      <c r="B617" s="32" t="s">
        <v>1956</v>
      </c>
      <c r="C617" s="32" t="s">
        <v>656</v>
      </c>
      <c r="D617" s="32" t="s">
        <v>142</v>
      </c>
      <c r="E617" s="32" t="s">
        <v>59</v>
      </c>
      <c r="F617" s="69">
        <v>6.2</v>
      </c>
      <c r="G617" s="69" t="s">
        <v>603</v>
      </c>
      <c r="H617" s="69" t="s">
        <v>604</v>
      </c>
      <c r="I617" s="69" t="s">
        <v>1885</v>
      </c>
      <c r="J617" s="32">
        <v>2.1</v>
      </c>
      <c r="K617" s="63" t="s">
        <v>658</v>
      </c>
      <c r="L617" s="64" t="s">
        <v>493</v>
      </c>
      <c r="M617" s="64" t="s">
        <v>659</v>
      </c>
      <c r="O617" s="126"/>
      <c r="P617" s="126"/>
      <c r="Q617" s="126"/>
    </row>
    <row r="618" spans="1:17" ht="57" x14ac:dyDescent="0.75">
      <c r="A618" s="61" t="s">
        <v>1957</v>
      </c>
      <c r="B618" s="32" t="s">
        <v>1958</v>
      </c>
      <c r="C618" s="32" t="s">
        <v>663</v>
      </c>
      <c r="D618" s="32" t="s">
        <v>142</v>
      </c>
      <c r="E618" s="32" t="s">
        <v>59</v>
      </c>
      <c r="F618" s="69">
        <v>6.2</v>
      </c>
      <c r="G618" s="69" t="s">
        <v>603</v>
      </c>
      <c r="H618" s="69" t="s">
        <v>604</v>
      </c>
      <c r="I618" s="69" t="s">
        <v>1885</v>
      </c>
      <c r="J618" s="32">
        <v>3.1</v>
      </c>
      <c r="K618" s="63" t="s">
        <v>664</v>
      </c>
      <c r="L618" s="64" t="s">
        <v>552</v>
      </c>
      <c r="M618" s="64" t="s">
        <v>659</v>
      </c>
      <c r="O618" s="126"/>
      <c r="P618" s="126"/>
      <c r="Q618" s="126"/>
    </row>
    <row r="619" spans="1:17" ht="42.75" x14ac:dyDescent="0.75">
      <c r="A619" s="61" t="s">
        <v>1959</v>
      </c>
      <c r="B619" s="32" t="s">
        <v>1960</v>
      </c>
      <c r="C619" s="32" t="s">
        <v>656</v>
      </c>
      <c r="D619" s="32" t="s">
        <v>142</v>
      </c>
      <c r="E619" s="32" t="s">
        <v>59</v>
      </c>
      <c r="F619" s="69">
        <v>6.3</v>
      </c>
      <c r="G619" s="69" t="s">
        <v>616</v>
      </c>
      <c r="H619" s="69" t="s">
        <v>617</v>
      </c>
      <c r="I619" s="69" t="s">
        <v>618</v>
      </c>
      <c r="J619" s="32">
        <v>2.1</v>
      </c>
      <c r="K619" s="63" t="s">
        <v>658</v>
      </c>
      <c r="L619" s="64" t="s">
        <v>493</v>
      </c>
      <c r="M619" s="64" t="s">
        <v>659</v>
      </c>
      <c r="O619" s="126"/>
      <c r="P619" s="126"/>
      <c r="Q619" s="126"/>
    </row>
    <row r="620" spans="1:17" ht="42.75" x14ac:dyDescent="0.75">
      <c r="A620" s="61" t="s">
        <v>1961</v>
      </c>
      <c r="B620" s="32" t="s">
        <v>1962</v>
      </c>
      <c r="C620" s="32" t="s">
        <v>663</v>
      </c>
      <c r="D620" s="32" t="s">
        <v>142</v>
      </c>
      <c r="E620" s="32" t="s">
        <v>59</v>
      </c>
      <c r="F620" s="69">
        <v>6.3</v>
      </c>
      <c r="G620" s="69" t="s">
        <v>616</v>
      </c>
      <c r="H620" s="69" t="s">
        <v>617</v>
      </c>
      <c r="I620" s="69" t="s">
        <v>618</v>
      </c>
      <c r="J620" s="32">
        <v>3.1</v>
      </c>
      <c r="K620" s="63" t="s">
        <v>664</v>
      </c>
      <c r="L620" s="64" t="s">
        <v>552</v>
      </c>
      <c r="M620" s="64" t="s">
        <v>659</v>
      </c>
      <c r="O620" s="126"/>
      <c r="P620" s="126"/>
      <c r="Q620" s="126"/>
    </row>
    <row r="621" spans="1:17" ht="42.75" x14ac:dyDescent="0.75">
      <c r="A621" s="61" t="s">
        <v>1963</v>
      </c>
      <c r="B621" s="32" t="s">
        <v>1964</v>
      </c>
      <c r="C621" s="32" t="s">
        <v>656</v>
      </c>
      <c r="D621" s="32" t="s">
        <v>142</v>
      </c>
      <c r="E621" s="32" t="s">
        <v>59</v>
      </c>
      <c r="F621" s="69">
        <v>6.3</v>
      </c>
      <c r="G621" s="69" t="s">
        <v>616</v>
      </c>
      <c r="H621" s="69" t="s">
        <v>617</v>
      </c>
      <c r="I621" s="69" t="s">
        <v>618</v>
      </c>
      <c r="J621" s="32">
        <v>2.1</v>
      </c>
      <c r="K621" s="63" t="s">
        <v>658</v>
      </c>
      <c r="L621" s="64" t="s">
        <v>493</v>
      </c>
      <c r="M621" s="64" t="s">
        <v>659</v>
      </c>
      <c r="O621" s="126"/>
      <c r="P621" s="126"/>
      <c r="Q621" s="126"/>
    </row>
    <row r="622" spans="1:17" ht="42.75" x14ac:dyDescent="0.75">
      <c r="A622" s="61" t="s">
        <v>1965</v>
      </c>
      <c r="B622" s="32" t="s">
        <v>1966</v>
      </c>
      <c r="C622" s="32" t="s">
        <v>663</v>
      </c>
      <c r="D622" s="32" t="s">
        <v>142</v>
      </c>
      <c r="E622" s="32" t="s">
        <v>59</v>
      </c>
      <c r="F622" s="69">
        <v>6.3</v>
      </c>
      <c r="G622" s="69" t="s">
        <v>616</v>
      </c>
      <c r="H622" s="69" t="s">
        <v>617</v>
      </c>
      <c r="I622" s="69" t="s">
        <v>618</v>
      </c>
      <c r="J622" s="32">
        <v>3.1</v>
      </c>
      <c r="K622" s="63" t="s">
        <v>664</v>
      </c>
      <c r="L622" s="64" t="s">
        <v>552</v>
      </c>
      <c r="M622" s="64" t="s">
        <v>659</v>
      </c>
      <c r="O622" s="126"/>
      <c r="P622" s="126"/>
      <c r="Q622" s="126"/>
    </row>
    <row r="623" spans="1:17" ht="42.75" x14ac:dyDescent="0.75">
      <c r="A623" s="61" t="s">
        <v>1967</v>
      </c>
      <c r="B623" s="32" t="s">
        <v>1968</v>
      </c>
      <c r="C623" s="32" t="s">
        <v>663</v>
      </c>
      <c r="D623" s="32" t="s">
        <v>142</v>
      </c>
      <c r="E623" s="32" t="s">
        <v>58</v>
      </c>
      <c r="F623" s="69">
        <v>6.3</v>
      </c>
      <c r="G623" s="69" t="s">
        <v>616</v>
      </c>
      <c r="H623" s="69" t="s">
        <v>617</v>
      </c>
      <c r="I623" s="69" t="s">
        <v>618</v>
      </c>
      <c r="J623" s="32">
        <v>6.1</v>
      </c>
      <c r="K623" s="63" t="s">
        <v>66</v>
      </c>
      <c r="L623" s="62" t="s">
        <v>597</v>
      </c>
      <c r="M623" s="64" t="s">
        <v>676</v>
      </c>
      <c r="O623" s="126"/>
      <c r="P623" s="126"/>
      <c r="Q623" s="126"/>
    </row>
    <row r="624" spans="1:17" ht="42.75" x14ac:dyDescent="0.75">
      <c r="A624" s="61" t="s">
        <v>1969</v>
      </c>
      <c r="B624" s="32" t="s">
        <v>1970</v>
      </c>
      <c r="C624" s="32" t="s">
        <v>663</v>
      </c>
      <c r="D624" s="32" t="s">
        <v>142</v>
      </c>
      <c r="E624" s="32" t="s">
        <v>58</v>
      </c>
      <c r="F624" s="69">
        <v>6.3</v>
      </c>
      <c r="G624" s="69" t="s">
        <v>616</v>
      </c>
      <c r="H624" s="69" t="s">
        <v>617</v>
      </c>
      <c r="I624" s="69" t="s">
        <v>618</v>
      </c>
      <c r="J624" s="32">
        <v>6.1</v>
      </c>
      <c r="K624" s="63" t="s">
        <v>66</v>
      </c>
      <c r="L624" s="62" t="s">
        <v>600</v>
      </c>
      <c r="M624" s="62" t="s">
        <v>659</v>
      </c>
      <c r="O624" s="126"/>
      <c r="P624" s="126"/>
      <c r="Q624" s="126"/>
    </row>
    <row r="625" spans="1:13" ht="42.75" x14ac:dyDescent="0.75">
      <c r="A625" s="61" t="s">
        <v>1971</v>
      </c>
      <c r="B625" s="32" t="s">
        <v>1972</v>
      </c>
      <c r="C625" s="32" t="s">
        <v>656</v>
      </c>
      <c r="D625" s="32" t="s">
        <v>142</v>
      </c>
      <c r="E625" s="32" t="s">
        <v>59</v>
      </c>
      <c r="F625" s="69">
        <v>6.2</v>
      </c>
      <c r="G625" s="69" t="s">
        <v>603</v>
      </c>
      <c r="H625" s="69" t="s">
        <v>613</v>
      </c>
      <c r="I625" s="69" t="s">
        <v>614</v>
      </c>
      <c r="J625" s="32">
        <v>2.1</v>
      </c>
      <c r="K625" s="63" t="s">
        <v>658</v>
      </c>
      <c r="L625" s="64" t="s">
        <v>493</v>
      </c>
      <c r="M625" s="64" t="s">
        <v>659</v>
      </c>
    </row>
    <row r="626" spans="1:13" ht="42.75" x14ac:dyDescent="0.75">
      <c r="A626" s="61" t="s">
        <v>1973</v>
      </c>
      <c r="B626" s="32" t="s">
        <v>1974</v>
      </c>
      <c r="C626" s="32" t="s">
        <v>663</v>
      </c>
      <c r="D626" s="32" t="s">
        <v>142</v>
      </c>
      <c r="E626" s="32" t="s">
        <v>59</v>
      </c>
      <c r="F626" s="69">
        <v>6.2</v>
      </c>
      <c r="G626" s="69" t="s">
        <v>603</v>
      </c>
      <c r="H626" s="69" t="s">
        <v>613</v>
      </c>
      <c r="I626" s="69" t="s">
        <v>614</v>
      </c>
      <c r="J626" s="32">
        <v>3.1</v>
      </c>
      <c r="K626" s="63" t="s">
        <v>664</v>
      </c>
      <c r="L626" s="64" t="s">
        <v>552</v>
      </c>
      <c r="M626" s="64" t="s">
        <v>659</v>
      </c>
    </row>
    <row r="627" spans="1:13" ht="42.75" x14ac:dyDescent="0.75">
      <c r="A627" s="61" t="s">
        <v>1975</v>
      </c>
      <c r="B627" s="32" t="s">
        <v>1976</v>
      </c>
      <c r="C627" s="32" t="s">
        <v>656</v>
      </c>
      <c r="D627" s="32" t="s">
        <v>142</v>
      </c>
      <c r="E627" s="32" t="s">
        <v>59</v>
      </c>
      <c r="F627" s="69">
        <v>6.2</v>
      </c>
      <c r="G627" s="69" t="s">
        <v>603</v>
      </c>
      <c r="H627" s="69" t="s">
        <v>613</v>
      </c>
      <c r="I627" s="69" t="s">
        <v>614</v>
      </c>
      <c r="J627" s="32">
        <v>2.1</v>
      </c>
      <c r="K627" s="63" t="s">
        <v>658</v>
      </c>
      <c r="L627" s="64" t="s">
        <v>493</v>
      </c>
      <c r="M627" s="64" t="s">
        <v>659</v>
      </c>
    </row>
    <row r="628" spans="1:13" ht="42.75" x14ac:dyDescent="0.75">
      <c r="A628" s="61" t="s">
        <v>1977</v>
      </c>
      <c r="B628" s="32" t="s">
        <v>1978</v>
      </c>
      <c r="C628" s="32" t="s">
        <v>663</v>
      </c>
      <c r="D628" s="32" t="s">
        <v>142</v>
      </c>
      <c r="E628" s="32" t="s">
        <v>59</v>
      </c>
      <c r="F628" s="69">
        <v>6.2</v>
      </c>
      <c r="G628" s="69" t="s">
        <v>603</v>
      </c>
      <c r="H628" s="69" t="s">
        <v>613</v>
      </c>
      <c r="I628" s="69" t="s">
        <v>614</v>
      </c>
      <c r="J628" s="32">
        <v>3.1</v>
      </c>
      <c r="K628" s="63" t="s">
        <v>664</v>
      </c>
      <c r="L628" s="64" t="s">
        <v>552</v>
      </c>
      <c r="M628" s="64" t="s">
        <v>659</v>
      </c>
    </row>
    <row r="629" spans="1:13" ht="42.75" x14ac:dyDescent="0.75">
      <c r="A629" s="61" t="s">
        <v>1979</v>
      </c>
      <c r="B629" s="32" t="s">
        <v>1980</v>
      </c>
      <c r="C629" s="32" t="s">
        <v>663</v>
      </c>
      <c r="D629" s="32" t="s">
        <v>142</v>
      </c>
      <c r="E629" s="32" t="s">
        <v>58</v>
      </c>
      <c r="F629" s="69">
        <v>6.2</v>
      </c>
      <c r="G629" s="69" t="s">
        <v>603</v>
      </c>
      <c r="H629" s="69" t="s">
        <v>613</v>
      </c>
      <c r="I629" s="69" t="s">
        <v>614</v>
      </c>
      <c r="J629" s="32">
        <v>6.1</v>
      </c>
      <c r="K629" s="63" t="s">
        <v>66</v>
      </c>
      <c r="L629" s="62" t="s">
        <v>597</v>
      </c>
      <c r="M629" s="64" t="s">
        <v>676</v>
      </c>
    </row>
    <row r="630" spans="1:13" ht="42.75" x14ac:dyDescent="0.75">
      <c r="A630" s="61" t="s">
        <v>1981</v>
      </c>
      <c r="B630" s="32" t="s">
        <v>1982</v>
      </c>
      <c r="C630" s="32" t="s">
        <v>663</v>
      </c>
      <c r="D630" s="32" t="s">
        <v>142</v>
      </c>
      <c r="E630" s="32" t="s">
        <v>58</v>
      </c>
      <c r="F630" s="69">
        <v>6.2</v>
      </c>
      <c r="G630" s="69" t="s">
        <v>603</v>
      </c>
      <c r="H630" s="69" t="s">
        <v>613</v>
      </c>
      <c r="I630" s="69" t="s">
        <v>614</v>
      </c>
      <c r="J630" s="32">
        <v>6.1</v>
      </c>
      <c r="K630" s="63" t="s">
        <v>66</v>
      </c>
      <c r="L630" s="62" t="s">
        <v>600</v>
      </c>
      <c r="M630" s="62" t="s">
        <v>659</v>
      </c>
    </row>
    <row r="631" spans="1:13" ht="42.75" x14ac:dyDescent="0.75">
      <c r="A631" s="61" t="s">
        <v>1983</v>
      </c>
      <c r="B631" s="32" t="s">
        <v>1984</v>
      </c>
      <c r="C631" s="32" t="s">
        <v>656</v>
      </c>
      <c r="D631" s="32" t="s">
        <v>142</v>
      </c>
      <c r="E631" s="32" t="s">
        <v>59</v>
      </c>
      <c r="F631" s="69">
        <v>6.3</v>
      </c>
      <c r="G631" s="69" t="s">
        <v>616</v>
      </c>
      <c r="H631" s="69" t="s">
        <v>620</v>
      </c>
      <c r="I631" s="69" t="s">
        <v>621</v>
      </c>
      <c r="J631" s="32">
        <v>2.1</v>
      </c>
      <c r="K631" s="63" t="s">
        <v>658</v>
      </c>
      <c r="L631" s="64" t="s">
        <v>493</v>
      </c>
      <c r="M631" s="64" t="s">
        <v>659</v>
      </c>
    </row>
    <row r="632" spans="1:13" ht="42.75" x14ac:dyDescent="0.75">
      <c r="A632" s="61" t="s">
        <v>1985</v>
      </c>
      <c r="B632" s="32" t="s">
        <v>1986</v>
      </c>
      <c r="C632" s="32" t="s">
        <v>663</v>
      </c>
      <c r="D632" s="32" t="s">
        <v>142</v>
      </c>
      <c r="E632" s="32" t="s">
        <v>59</v>
      </c>
      <c r="F632" s="69">
        <v>6.3</v>
      </c>
      <c r="G632" s="69" t="s">
        <v>616</v>
      </c>
      <c r="H632" s="69" t="s">
        <v>620</v>
      </c>
      <c r="I632" s="69" t="s">
        <v>621</v>
      </c>
      <c r="J632" s="32">
        <v>3.1</v>
      </c>
      <c r="K632" s="63" t="s">
        <v>664</v>
      </c>
      <c r="L632" s="64" t="s">
        <v>552</v>
      </c>
      <c r="M632" s="64" t="s">
        <v>659</v>
      </c>
    </row>
    <row r="633" spans="1:13" ht="42.75" x14ac:dyDescent="0.75">
      <c r="A633" s="61" t="s">
        <v>1987</v>
      </c>
      <c r="B633" s="32" t="s">
        <v>1988</v>
      </c>
      <c r="C633" s="32" t="s">
        <v>656</v>
      </c>
      <c r="D633" s="32" t="s">
        <v>142</v>
      </c>
      <c r="E633" s="32" t="s">
        <v>59</v>
      </c>
      <c r="F633" s="69">
        <v>6.3</v>
      </c>
      <c r="G633" s="69" t="s">
        <v>616</v>
      </c>
      <c r="H633" s="69" t="s">
        <v>620</v>
      </c>
      <c r="I633" s="69" t="s">
        <v>621</v>
      </c>
      <c r="J633" s="32">
        <v>2.1</v>
      </c>
      <c r="K633" s="63" t="s">
        <v>658</v>
      </c>
      <c r="L633" s="64" t="s">
        <v>493</v>
      </c>
      <c r="M633" s="64" t="s">
        <v>659</v>
      </c>
    </row>
    <row r="634" spans="1:13" ht="42.75" x14ac:dyDescent="0.75">
      <c r="A634" s="61" t="s">
        <v>1989</v>
      </c>
      <c r="B634" s="32" t="s">
        <v>1990</v>
      </c>
      <c r="C634" s="32" t="s">
        <v>663</v>
      </c>
      <c r="D634" s="32" t="s">
        <v>142</v>
      </c>
      <c r="E634" s="32" t="s">
        <v>59</v>
      </c>
      <c r="F634" s="69">
        <v>6.3</v>
      </c>
      <c r="G634" s="69" t="s">
        <v>616</v>
      </c>
      <c r="H634" s="69" t="s">
        <v>620</v>
      </c>
      <c r="I634" s="69" t="s">
        <v>621</v>
      </c>
      <c r="J634" s="32">
        <v>3.1</v>
      </c>
      <c r="K634" s="63" t="s">
        <v>664</v>
      </c>
      <c r="L634" s="64" t="s">
        <v>552</v>
      </c>
      <c r="M634" s="64" t="s">
        <v>659</v>
      </c>
    </row>
    <row r="635" spans="1:13" ht="42.75" x14ac:dyDescent="0.75">
      <c r="A635" s="61" t="s">
        <v>1991</v>
      </c>
      <c r="B635" s="32" t="s">
        <v>1992</v>
      </c>
      <c r="C635" s="32" t="s">
        <v>656</v>
      </c>
      <c r="D635" s="32" t="s">
        <v>142</v>
      </c>
      <c r="E635" s="32" t="s">
        <v>59</v>
      </c>
      <c r="F635" s="69">
        <v>6.3</v>
      </c>
      <c r="G635" s="69" t="s">
        <v>616</v>
      </c>
      <c r="H635" s="69" t="s">
        <v>620</v>
      </c>
      <c r="I635" s="69" t="s">
        <v>621</v>
      </c>
      <c r="J635" s="32">
        <v>2.1</v>
      </c>
      <c r="K635" s="63" t="s">
        <v>658</v>
      </c>
      <c r="L635" s="64" t="s">
        <v>493</v>
      </c>
      <c r="M635" s="64" t="s">
        <v>659</v>
      </c>
    </row>
    <row r="636" spans="1:13" ht="42.75" x14ac:dyDescent="0.75">
      <c r="A636" s="61" t="s">
        <v>1993</v>
      </c>
      <c r="B636" s="32" t="s">
        <v>1994</v>
      </c>
      <c r="C636" s="32" t="s">
        <v>663</v>
      </c>
      <c r="D636" s="32" t="s">
        <v>142</v>
      </c>
      <c r="E636" s="32" t="s">
        <v>59</v>
      </c>
      <c r="F636" s="69">
        <v>6.3</v>
      </c>
      <c r="G636" s="69" t="s">
        <v>616</v>
      </c>
      <c r="H636" s="69" t="s">
        <v>620</v>
      </c>
      <c r="I636" s="69" t="s">
        <v>621</v>
      </c>
      <c r="J636" s="32">
        <v>3.1</v>
      </c>
      <c r="K636" s="63" t="s">
        <v>664</v>
      </c>
      <c r="L636" s="64" t="s">
        <v>552</v>
      </c>
      <c r="M636" s="64" t="s">
        <v>659</v>
      </c>
    </row>
    <row r="637" spans="1:13" ht="42.75" x14ac:dyDescent="0.75">
      <c r="A637" s="61" t="s">
        <v>1995</v>
      </c>
      <c r="B637" s="32" t="s">
        <v>1996</v>
      </c>
      <c r="C637" s="32" t="s">
        <v>663</v>
      </c>
      <c r="D637" s="32" t="s">
        <v>142</v>
      </c>
      <c r="E637" s="32" t="s">
        <v>58</v>
      </c>
      <c r="F637" s="69">
        <v>6.3</v>
      </c>
      <c r="G637" s="69" t="s">
        <v>616</v>
      </c>
      <c r="H637" s="69" t="s">
        <v>620</v>
      </c>
      <c r="I637" s="69" t="s">
        <v>621</v>
      </c>
      <c r="J637" s="32">
        <v>6.1</v>
      </c>
      <c r="K637" s="63" t="s">
        <v>66</v>
      </c>
      <c r="L637" s="62" t="s">
        <v>597</v>
      </c>
      <c r="M637" s="64" t="s">
        <v>676</v>
      </c>
    </row>
    <row r="638" spans="1:13" ht="42.75" x14ac:dyDescent="0.75">
      <c r="A638" s="61" t="s">
        <v>1997</v>
      </c>
      <c r="B638" s="32" t="s">
        <v>1998</v>
      </c>
      <c r="C638" s="32" t="s">
        <v>663</v>
      </c>
      <c r="D638" s="32" t="s">
        <v>142</v>
      </c>
      <c r="E638" s="32" t="s">
        <v>58</v>
      </c>
      <c r="F638" s="69">
        <v>6.3</v>
      </c>
      <c r="G638" s="69" t="s">
        <v>616</v>
      </c>
      <c r="H638" s="69" t="s">
        <v>620</v>
      </c>
      <c r="I638" s="69" t="s">
        <v>621</v>
      </c>
      <c r="J638" s="32">
        <v>6.1</v>
      </c>
      <c r="K638" s="63" t="s">
        <v>66</v>
      </c>
      <c r="L638" s="62" t="s">
        <v>600</v>
      </c>
      <c r="M638" s="62" t="s">
        <v>659</v>
      </c>
    </row>
    <row r="639" spans="1:13" ht="42.75" x14ac:dyDescent="0.75">
      <c r="A639" s="61" t="s">
        <v>1999</v>
      </c>
      <c r="B639" s="32" t="s">
        <v>2000</v>
      </c>
      <c r="C639" s="32" t="s">
        <v>656</v>
      </c>
      <c r="D639" s="32" t="s">
        <v>142</v>
      </c>
      <c r="E639" s="32" t="s">
        <v>59</v>
      </c>
      <c r="F639" s="69">
        <v>6.2</v>
      </c>
      <c r="G639" s="69" t="s">
        <v>603</v>
      </c>
      <c r="H639" s="69" t="s">
        <v>610</v>
      </c>
      <c r="I639" s="69" t="s">
        <v>611</v>
      </c>
      <c r="J639" s="32">
        <v>2.1</v>
      </c>
      <c r="K639" s="63" t="s">
        <v>658</v>
      </c>
      <c r="L639" s="64" t="s">
        <v>493</v>
      </c>
      <c r="M639" s="64" t="s">
        <v>659</v>
      </c>
    </row>
    <row r="640" spans="1:13" ht="42.75" x14ac:dyDescent="0.75">
      <c r="A640" s="61" t="s">
        <v>2001</v>
      </c>
      <c r="B640" s="32" t="s">
        <v>2002</v>
      </c>
      <c r="C640" s="32" t="s">
        <v>663</v>
      </c>
      <c r="D640" s="32" t="s">
        <v>142</v>
      </c>
      <c r="E640" s="32" t="s">
        <v>59</v>
      </c>
      <c r="F640" s="69">
        <v>6.2</v>
      </c>
      <c r="G640" s="69" t="s">
        <v>603</v>
      </c>
      <c r="H640" s="69" t="s">
        <v>610</v>
      </c>
      <c r="I640" s="69" t="s">
        <v>611</v>
      </c>
      <c r="J640" s="32">
        <v>3.1</v>
      </c>
      <c r="K640" s="63" t="s">
        <v>664</v>
      </c>
      <c r="L640" s="64" t="s">
        <v>552</v>
      </c>
      <c r="M640" s="64" t="s">
        <v>659</v>
      </c>
    </row>
    <row r="641" spans="1:14" ht="42.75" x14ac:dyDescent="0.75">
      <c r="A641" s="61" t="s">
        <v>2003</v>
      </c>
      <c r="B641" s="32" t="s">
        <v>2004</v>
      </c>
      <c r="C641" s="32" t="s">
        <v>656</v>
      </c>
      <c r="D641" s="32" t="s">
        <v>142</v>
      </c>
      <c r="E641" s="32" t="s">
        <v>59</v>
      </c>
      <c r="F641" s="69">
        <v>6.2</v>
      </c>
      <c r="G641" s="69" t="s">
        <v>603</v>
      </c>
      <c r="H641" s="69" t="s">
        <v>610</v>
      </c>
      <c r="I641" s="69" t="s">
        <v>611</v>
      </c>
      <c r="J641" s="32">
        <v>2.1</v>
      </c>
      <c r="K641" s="63" t="s">
        <v>658</v>
      </c>
      <c r="L641" s="64" t="s">
        <v>493</v>
      </c>
      <c r="M641" s="64" t="s">
        <v>659</v>
      </c>
    </row>
    <row r="642" spans="1:14" ht="42.75" x14ac:dyDescent="0.75">
      <c r="A642" s="61" t="s">
        <v>2005</v>
      </c>
      <c r="B642" s="32" t="s">
        <v>2006</v>
      </c>
      <c r="C642" s="32" t="s">
        <v>663</v>
      </c>
      <c r="D642" s="32" t="s">
        <v>142</v>
      </c>
      <c r="E642" s="32" t="s">
        <v>59</v>
      </c>
      <c r="F642" s="69">
        <v>6.2</v>
      </c>
      <c r="G642" s="69" t="s">
        <v>603</v>
      </c>
      <c r="H642" s="69" t="s">
        <v>610</v>
      </c>
      <c r="I642" s="69" t="s">
        <v>611</v>
      </c>
      <c r="J642" s="32">
        <v>3.1</v>
      </c>
      <c r="K642" s="63" t="s">
        <v>664</v>
      </c>
      <c r="L642" s="64" t="s">
        <v>552</v>
      </c>
      <c r="M642" s="64" t="s">
        <v>659</v>
      </c>
    </row>
    <row r="643" spans="1:14" ht="42.75" x14ac:dyDescent="0.75">
      <c r="A643" s="61" t="s">
        <v>2007</v>
      </c>
      <c r="B643" s="32" t="s">
        <v>2008</v>
      </c>
      <c r="C643" s="32" t="s">
        <v>663</v>
      </c>
      <c r="D643" s="32" t="s">
        <v>142</v>
      </c>
      <c r="E643" s="32" t="s">
        <v>58</v>
      </c>
      <c r="F643" s="69">
        <v>6.2</v>
      </c>
      <c r="G643" s="69" t="s">
        <v>603</v>
      </c>
      <c r="H643" s="69" t="s">
        <v>610</v>
      </c>
      <c r="I643" s="69" t="s">
        <v>611</v>
      </c>
      <c r="J643" s="32">
        <v>6.1</v>
      </c>
      <c r="K643" s="63" t="s">
        <v>66</v>
      </c>
      <c r="L643" s="62" t="s">
        <v>597</v>
      </c>
      <c r="M643" s="64" t="s">
        <v>676</v>
      </c>
    </row>
    <row r="644" spans="1:14" ht="42.75" x14ac:dyDescent="0.75">
      <c r="A644" s="61" t="s">
        <v>2009</v>
      </c>
      <c r="B644" s="32" t="s">
        <v>2010</v>
      </c>
      <c r="C644" s="32" t="s">
        <v>663</v>
      </c>
      <c r="D644" s="32" t="s">
        <v>142</v>
      </c>
      <c r="E644" s="32" t="s">
        <v>58</v>
      </c>
      <c r="F644" s="69">
        <v>6.2</v>
      </c>
      <c r="G644" s="69" t="s">
        <v>603</v>
      </c>
      <c r="H644" s="69" t="s">
        <v>610</v>
      </c>
      <c r="I644" s="69" t="s">
        <v>611</v>
      </c>
      <c r="J644" s="32">
        <v>6.1</v>
      </c>
      <c r="K644" s="63" t="s">
        <v>66</v>
      </c>
      <c r="L644" s="62" t="s">
        <v>600</v>
      </c>
      <c r="M644" s="62" t="s">
        <v>659</v>
      </c>
    </row>
    <row r="645" spans="1:14" ht="57" x14ac:dyDescent="0.75">
      <c r="A645" s="61" t="s">
        <v>2011</v>
      </c>
      <c r="B645" s="32" t="s">
        <v>944</v>
      </c>
      <c r="C645" s="32" t="s">
        <v>656</v>
      </c>
      <c r="D645" s="32" t="s">
        <v>142</v>
      </c>
      <c r="E645" s="32" t="s">
        <v>59</v>
      </c>
      <c r="F645" s="69">
        <v>6.2</v>
      </c>
      <c r="G645" s="69" t="s">
        <v>603</v>
      </c>
      <c r="H645" s="69" t="s">
        <v>604</v>
      </c>
      <c r="I645" s="69" t="s">
        <v>1885</v>
      </c>
      <c r="J645" s="32">
        <v>2.1</v>
      </c>
      <c r="K645" s="63" t="s">
        <v>658</v>
      </c>
      <c r="L645" s="64" t="s">
        <v>493</v>
      </c>
      <c r="M645" s="64" t="s">
        <v>659</v>
      </c>
      <c r="N645" s="32" t="s">
        <v>767</v>
      </c>
    </row>
    <row r="646" spans="1:14" ht="57" x14ac:dyDescent="0.75">
      <c r="A646" s="61" t="s">
        <v>2012</v>
      </c>
      <c r="B646" s="32" t="s">
        <v>946</v>
      </c>
      <c r="C646" s="32" t="s">
        <v>663</v>
      </c>
      <c r="D646" s="32" t="s">
        <v>142</v>
      </c>
      <c r="E646" s="32" t="s">
        <v>59</v>
      </c>
      <c r="F646" s="69">
        <v>6.2</v>
      </c>
      <c r="G646" s="69" t="s">
        <v>603</v>
      </c>
      <c r="H646" s="69" t="s">
        <v>604</v>
      </c>
      <c r="I646" s="69" t="s">
        <v>1885</v>
      </c>
      <c r="J646" s="32">
        <v>3.1</v>
      </c>
      <c r="K646" s="63" t="s">
        <v>664</v>
      </c>
      <c r="L646" s="64" t="s">
        <v>552</v>
      </c>
      <c r="M646" s="64" t="s">
        <v>659</v>
      </c>
      <c r="N646" s="32" t="s">
        <v>767</v>
      </c>
    </row>
    <row r="647" spans="1:14" ht="42.75" x14ac:dyDescent="0.75">
      <c r="A647" s="61" t="s">
        <v>2013</v>
      </c>
      <c r="B647" s="32" t="s">
        <v>948</v>
      </c>
      <c r="C647" s="32" t="s">
        <v>656</v>
      </c>
      <c r="D647" s="32" t="s">
        <v>142</v>
      </c>
      <c r="E647" s="32" t="s">
        <v>59</v>
      </c>
      <c r="F647" s="69">
        <v>6.4</v>
      </c>
      <c r="G647" s="69" t="s">
        <v>626</v>
      </c>
      <c r="H647" s="69" t="s">
        <v>636</v>
      </c>
      <c r="I647" s="69" t="s">
        <v>637</v>
      </c>
      <c r="J647" s="32">
        <v>2.1</v>
      </c>
      <c r="K647" s="63" t="s">
        <v>658</v>
      </c>
      <c r="L647" s="64" t="s">
        <v>493</v>
      </c>
      <c r="M647" s="64" t="s">
        <v>659</v>
      </c>
    </row>
    <row r="648" spans="1:14" ht="42.75" x14ac:dyDescent="0.75">
      <c r="A648" s="61" t="s">
        <v>2014</v>
      </c>
      <c r="B648" s="32" t="s">
        <v>950</v>
      </c>
      <c r="C648" s="32" t="s">
        <v>663</v>
      </c>
      <c r="D648" s="32" t="s">
        <v>142</v>
      </c>
      <c r="E648" s="32" t="s">
        <v>59</v>
      </c>
      <c r="F648" s="69">
        <v>6.4</v>
      </c>
      <c r="G648" s="69" t="s">
        <v>626</v>
      </c>
      <c r="H648" s="69" t="s">
        <v>636</v>
      </c>
      <c r="I648" s="69" t="s">
        <v>637</v>
      </c>
      <c r="J648" s="32">
        <v>3.1</v>
      </c>
      <c r="K648" s="63" t="s">
        <v>664</v>
      </c>
      <c r="L648" s="64" t="s">
        <v>552</v>
      </c>
      <c r="M648" s="64" t="s">
        <v>659</v>
      </c>
    </row>
    <row r="649" spans="1:14" ht="42.75" x14ac:dyDescent="0.75">
      <c r="A649" s="61" t="s">
        <v>2015</v>
      </c>
      <c r="B649" s="32" t="s">
        <v>952</v>
      </c>
      <c r="C649" s="32" t="s">
        <v>656</v>
      </c>
      <c r="D649" s="32" t="s">
        <v>142</v>
      </c>
      <c r="E649" s="32" t="s">
        <v>59</v>
      </c>
      <c r="F649" s="69">
        <v>6.4</v>
      </c>
      <c r="G649" s="69" t="s">
        <v>626</v>
      </c>
      <c r="H649" s="69" t="s">
        <v>639</v>
      </c>
      <c r="I649" s="69" t="s">
        <v>640</v>
      </c>
      <c r="J649" s="32">
        <v>2.1</v>
      </c>
      <c r="K649" s="63" t="s">
        <v>658</v>
      </c>
      <c r="L649" s="64" t="s">
        <v>493</v>
      </c>
      <c r="M649" s="64" t="s">
        <v>659</v>
      </c>
    </row>
    <row r="650" spans="1:14" ht="42.75" x14ac:dyDescent="0.75">
      <c r="A650" s="61" t="s">
        <v>2016</v>
      </c>
      <c r="B650" s="32" t="s">
        <v>954</v>
      </c>
      <c r="C650" s="32" t="s">
        <v>663</v>
      </c>
      <c r="D650" s="32" t="s">
        <v>142</v>
      </c>
      <c r="E650" s="32" t="s">
        <v>59</v>
      </c>
      <c r="F650" s="69">
        <v>6.4</v>
      </c>
      <c r="G650" s="69" t="s">
        <v>626</v>
      </c>
      <c r="H650" s="69" t="s">
        <v>639</v>
      </c>
      <c r="I650" s="69" t="s">
        <v>640</v>
      </c>
      <c r="J650" s="32">
        <v>3.1</v>
      </c>
      <c r="K650" s="63" t="s">
        <v>664</v>
      </c>
      <c r="L650" s="64" t="s">
        <v>552</v>
      </c>
      <c r="M650" s="64" t="s">
        <v>659</v>
      </c>
    </row>
    <row r="651" spans="1:14" ht="42.75" x14ac:dyDescent="0.75">
      <c r="A651" s="61" t="s">
        <v>2017</v>
      </c>
      <c r="B651" s="32" t="s">
        <v>956</v>
      </c>
      <c r="C651" s="32" t="s">
        <v>656</v>
      </c>
      <c r="D651" s="32" t="s">
        <v>142</v>
      </c>
      <c r="E651" s="32" t="s">
        <v>59</v>
      </c>
      <c r="F651" s="69">
        <v>6.4</v>
      </c>
      <c r="G651" s="69" t="s">
        <v>626</v>
      </c>
      <c r="H651" s="69" t="s">
        <v>636</v>
      </c>
      <c r="I651" s="69" t="s">
        <v>637</v>
      </c>
      <c r="J651" s="32">
        <v>2.1</v>
      </c>
      <c r="K651" s="63" t="s">
        <v>658</v>
      </c>
      <c r="L651" s="64" t="s">
        <v>493</v>
      </c>
      <c r="M651" s="64" t="s">
        <v>659</v>
      </c>
      <c r="N651" s="32" t="s">
        <v>801</v>
      </c>
    </row>
    <row r="652" spans="1:14" ht="42.75" x14ac:dyDescent="0.75">
      <c r="A652" s="61" t="s">
        <v>2018</v>
      </c>
      <c r="B652" s="32" t="s">
        <v>958</v>
      </c>
      <c r="C652" s="32" t="s">
        <v>663</v>
      </c>
      <c r="D652" s="32" t="s">
        <v>142</v>
      </c>
      <c r="E652" s="32" t="s">
        <v>59</v>
      </c>
      <c r="F652" s="69">
        <v>6.4</v>
      </c>
      <c r="G652" s="69" t="s">
        <v>626</v>
      </c>
      <c r="H652" s="69" t="s">
        <v>636</v>
      </c>
      <c r="I652" s="69" t="s">
        <v>637</v>
      </c>
      <c r="J652" s="32">
        <v>3.1</v>
      </c>
      <c r="K652" s="63" t="s">
        <v>664</v>
      </c>
      <c r="L652" s="64" t="s">
        <v>552</v>
      </c>
      <c r="M652" s="64" t="s">
        <v>659</v>
      </c>
      <c r="N652" s="32" t="s">
        <v>801</v>
      </c>
    </row>
  </sheetData>
  <autoFilter ref="A6:T652" xr:uid="{8518DBC7-D937-4D3C-B5A7-1DCD5C308FDD}"/>
  <mergeCells count="16">
    <mergeCell ref="F5:G5"/>
    <mergeCell ref="H5:I5"/>
    <mergeCell ref="J5:K5"/>
    <mergeCell ref="A3:C3"/>
    <mergeCell ref="C2:L2"/>
    <mergeCell ref="D3:E3"/>
    <mergeCell ref="F3:G3"/>
    <mergeCell ref="H3:I3"/>
    <mergeCell ref="J3:K3"/>
    <mergeCell ref="B4:C4"/>
    <mergeCell ref="D4:E4"/>
    <mergeCell ref="F4:G4"/>
    <mergeCell ref="H4:I4"/>
    <mergeCell ref="J4:K4"/>
    <mergeCell ref="B5:C5"/>
    <mergeCell ref="D5:E5"/>
  </mergeCells>
  <pageMargins left="0.7" right="0.7" top="0.75" bottom="0.75" header="0.3" footer="0.3"/>
  <pageSetup paperSize="3" scale="56" fitToHeight="0" orientation="landscape" r:id="rId1"/>
  <headerFooter>
    <oddFooter>&amp;L&amp;F&amp;R© 2018 The MITRE Corporation – all rights reserved. 
Federal  Government – unlimited usage rights.</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5A946-C1DD-4C89-BBA4-60BC01271ADB}">
  <dimension ref="A1:E42"/>
  <sheetViews>
    <sheetView zoomScale="80" zoomScaleNormal="80" workbookViewId="0">
      <pane ySplit="3" topLeftCell="A4" activePane="bottomLeft" state="frozen"/>
      <selection pane="bottomLeft" activeCell="G4" sqref="G4"/>
    </sheetView>
  </sheetViews>
  <sheetFormatPr defaultColWidth="8.7265625" defaultRowHeight="14.25" x14ac:dyDescent="0.65"/>
  <cols>
    <col min="1" max="1" width="8.7265625" style="35"/>
    <col min="2" max="2" width="18.7265625" style="35" customWidth="1"/>
    <col min="3" max="3" width="8.7265625" style="35" bestFit="1" customWidth="1"/>
    <col min="4" max="4" width="25.7265625" style="35" bestFit="1" customWidth="1"/>
    <col min="5" max="5" width="70.54296875" style="35" customWidth="1"/>
    <col min="6" max="16384" width="8.7265625" style="35"/>
  </cols>
  <sheetData>
    <row r="1" spans="1:5" s="155" customFormat="1" x14ac:dyDescent="0.65">
      <c r="A1" s="160"/>
      <c r="B1" s="231"/>
      <c r="C1" s="231"/>
      <c r="D1" s="231"/>
      <c r="E1" s="231"/>
    </row>
    <row r="2" spans="1:5" s="155" customFormat="1" ht="33.75" customHeight="1" x14ac:dyDescent="0.65">
      <c r="A2" s="232" t="s">
        <v>2019</v>
      </c>
      <c r="B2" s="232"/>
      <c r="C2" s="232"/>
      <c r="D2" s="232"/>
      <c r="E2" s="232"/>
    </row>
    <row r="3" spans="1:5" ht="43.5" x14ac:dyDescent="0.65">
      <c r="A3" s="119" t="s">
        <v>649</v>
      </c>
      <c r="B3" s="120" t="s">
        <v>650</v>
      </c>
      <c r="C3" s="119" t="s">
        <v>651</v>
      </c>
      <c r="D3" s="120" t="s">
        <v>652</v>
      </c>
      <c r="E3" s="121" t="s">
        <v>2020</v>
      </c>
    </row>
    <row r="4" spans="1:5" ht="60" customHeight="1" x14ac:dyDescent="0.65">
      <c r="A4" s="53">
        <v>2.1</v>
      </c>
      <c r="B4" s="54" t="s">
        <v>658</v>
      </c>
      <c r="C4" s="53"/>
      <c r="D4" s="55"/>
      <c r="E4" s="56" t="s">
        <v>2021</v>
      </c>
    </row>
    <row r="5" spans="1:5" x14ac:dyDescent="0.65">
      <c r="A5" s="57">
        <v>2.1</v>
      </c>
      <c r="B5" s="58" t="s">
        <v>658</v>
      </c>
      <c r="C5" s="57" t="s">
        <v>493</v>
      </c>
      <c r="D5" s="59" t="s">
        <v>659</v>
      </c>
      <c r="E5" s="60" t="s">
        <v>2022</v>
      </c>
    </row>
    <row r="6" spans="1:5" x14ac:dyDescent="0.65">
      <c r="A6" s="53">
        <v>2.1</v>
      </c>
      <c r="B6" s="54" t="s">
        <v>658</v>
      </c>
      <c r="C6" s="53" t="s">
        <v>496</v>
      </c>
      <c r="D6" s="55" t="s">
        <v>2023</v>
      </c>
      <c r="E6" s="56" t="s">
        <v>2024</v>
      </c>
    </row>
    <row r="7" spans="1:5" ht="42.75" x14ac:dyDescent="0.65">
      <c r="A7" s="57">
        <v>3.1</v>
      </c>
      <c r="B7" s="58" t="s">
        <v>664</v>
      </c>
      <c r="C7" s="57"/>
      <c r="D7" s="59"/>
      <c r="E7" s="60" t="s">
        <v>2025</v>
      </c>
    </row>
    <row r="8" spans="1:5" x14ac:dyDescent="0.65">
      <c r="A8" s="53">
        <v>3.1</v>
      </c>
      <c r="B8" s="54" t="s">
        <v>664</v>
      </c>
      <c r="C8" s="53" t="s">
        <v>552</v>
      </c>
      <c r="D8" s="55" t="s">
        <v>659</v>
      </c>
      <c r="E8" s="56" t="s">
        <v>2026</v>
      </c>
    </row>
    <row r="9" spans="1:5" x14ac:dyDescent="0.65">
      <c r="A9" s="57">
        <v>3.1</v>
      </c>
      <c r="B9" s="58" t="s">
        <v>664</v>
      </c>
      <c r="C9" s="57" t="s">
        <v>555</v>
      </c>
      <c r="D9" s="59" t="s">
        <v>2023</v>
      </c>
      <c r="E9" s="60" t="s">
        <v>2027</v>
      </c>
    </row>
    <row r="10" spans="1:5" ht="57" x14ac:dyDescent="0.65">
      <c r="A10" s="53">
        <v>4.0999999999999996</v>
      </c>
      <c r="B10" s="54" t="s">
        <v>967</v>
      </c>
      <c r="C10" s="53"/>
      <c r="D10" s="55"/>
      <c r="E10" s="56" t="s">
        <v>2028</v>
      </c>
    </row>
    <row r="11" spans="1:5" ht="28.5" x14ac:dyDescent="0.65">
      <c r="A11" s="57">
        <v>4.0999999999999996</v>
      </c>
      <c r="B11" s="58" t="s">
        <v>967</v>
      </c>
      <c r="C11" s="57" t="s">
        <v>569</v>
      </c>
      <c r="D11" s="59" t="s">
        <v>659</v>
      </c>
      <c r="E11" s="60" t="s">
        <v>2029</v>
      </c>
    </row>
    <row r="12" spans="1:5" x14ac:dyDescent="0.65">
      <c r="A12" s="53">
        <v>4.0999999999999996</v>
      </c>
      <c r="B12" s="54" t="s">
        <v>967</v>
      </c>
      <c r="C12" s="53" t="s">
        <v>572</v>
      </c>
      <c r="D12" s="55" t="s">
        <v>968</v>
      </c>
      <c r="E12" s="56" t="s">
        <v>2030</v>
      </c>
    </row>
    <row r="13" spans="1:5" x14ac:dyDescent="0.65">
      <c r="A13" s="57">
        <v>4.0999999999999996</v>
      </c>
      <c r="B13" s="58" t="s">
        <v>967</v>
      </c>
      <c r="C13" s="57" t="s">
        <v>575</v>
      </c>
      <c r="D13" s="59" t="s">
        <v>2031</v>
      </c>
      <c r="E13" s="60" t="s">
        <v>2032</v>
      </c>
    </row>
    <row r="14" spans="1:5" ht="28.5" x14ac:dyDescent="0.65">
      <c r="A14" s="53">
        <v>4.0999999999999996</v>
      </c>
      <c r="B14" s="54" t="s">
        <v>967</v>
      </c>
      <c r="C14" s="53" t="s">
        <v>578</v>
      </c>
      <c r="D14" s="55" t="s">
        <v>2033</v>
      </c>
      <c r="E14" s="56" t="s">
        <v>2034</v>
      </c>
    </row>
    <row r="15" spans="1:5" x14ac:dyDescent="0.65">
      <c r="A15" s="57">
        <v>4.0999999999999996</v>
      </c>
      <c r="B15" s="58" t="s">
        <v>967</v>
      </c>
      <c r="C15" s="57" t="s">
        <v>581</v>
      </c>
      <c r="D15" s="59" t="s">
        <v>2023</v>
      </c>
      <c r="E15" s="60" t="s">
        <v>2035</v>
      </c>
    </row>
    <row r="16" spans="1:5" ht="85.5" x14ac:dyDescent="0.65">
      <c r="A16" s="53">
        <v>5.0999999999999996</v>
      </c>
      <c r="B16" s="54" t="s">
        <v>65</v>
      </c>
      <c r="C16" s="53"/>
      <c r="D16" s="55"/>
      <c r="E16" s="56" t="s">
        <v>2036</v>
      </c>
    </row>
    <row r="17" spans="1:5" ht="28.5" x14ac:dyDescent="0.65">
      <c r="A17" s="57">
        <v>5.0999999999999996</v>
      </c>
      <c r="B17" s="58" t="s">
        <v>65</v>
      </c>
      <c r="C17" s="57" t="s">
        <v>1117</v>
      </c>
      <c r="D17" s="59" t="s">
        <v>659</v>
      </c>
      <c r="E17" s="60" t="s">
        <v>2037</v>
      </c>
    </row>
    <row r="18" spans="1:5" ht="28.5" x14ac:dyDescent="0.65">
      <c r="A18" s="53">
        <v>5.0999999999999996</v>
      </c>
      <c r="B18" s="54" t="s">
        <v>65</v>
      </c>
      <c r="C18" s="53" t="s">
        <v>2038</v>
      </c>
      <c r="D18" s="55" t="s">
        <v>968</v>
      </c>
      <c r="E18" s="56" t="s">
        <v>2039</v>
      </c>
    </row>
    <row r="19" spans="1:5" x14ac:dyDescent="0.65">
      <c r="A19" s="57">
        <v>5.0999999999999996</v>
      </c>
      <c r="B19" s="58" t="s">
        <v>65</v>
      </c>
      <c r="C19" s="57" t="s">
        <v>1120</v>
      </c>
      <c r="D19" s="59" t="s">
        <v>2031</v>
      </c>
      <c r="E19" s="60" t="s">
        <v>2040</v>
      </c>
    </row>
    <row r="20" spans="1:5" ht="28.5" x14ac:dyDescent="0.65">
      <c r="A20" s="53">
        <v>5.0999999999999996</v>
      </c>
      <c r="B20" s="54" t="s">
        <v>65</v>
      </c>
      <c r="C20" s="53" t="s">
        <v>2041</v>
      </c>
      <c r="D20" s="55" t="s">
        <v>2033</v>
      </c>
      <c r="E20" s="56" t="s">
        <v>2042</v>
      </c>
    </row>
    <row r="21" spans="1:5" x14ac:dyDescent="0.65">
      <c r="A21" s="57">
        <v>5.0999999999999996</v>
      </c>
      <c r="B21" s="58" t="s">
        <v>65</v>
      </c>
      <c r="C21" s="57" t="s">
        <v>2043</v>
      </c>
      <c r="D21" s="59" t="s">
        <v>2023</v>
      </c>
      <c r="E21" s="60" t="s">
        <v>2044</v>
      </c>
    </row>
    <row r="22" spans="1:5" ht="85.5" x14ac:dyDescent="0.65">
      <c r="A22" s="53">
        <v>6.1</v>
      </c>
      <c r="B22" s="54" t="s">
        <v>66</v>
      </c>
      <c r="C22" s="53"/>
      <c r="D22" s="55"/>
      <c r="E22" s="56" t="s">
        <v>2045</v>
      </c>
    </row>
    <row r="23" spans="1:5" ht="28.5" x14ac:dyDescent="0.65">
      <c r="A23" s="57">
        <v>6.1</v>
      </c>
      <c r="B23" s="58" t="s">
        <v>66</v>
      </c>
      <c r="C23" s="57" t="s">
        <v>594</v>
      </c>
      <c r="D23" s="59" t="s">
        <v>659</v>
      </c>
      <c r="E23" s="60" t="s">
        <v>2046</v>
      </c>
    </row>
    <row r="24" spans="1:5" ht="42.75" x14ac:dyDescent="0.65">
      <c r="A24" s="53">
        <v>6.1</v>
      </c>
      <c r="B24" s="54" t="s">
        <v>66</v>
      </c>
      <c r="C24" s="53" t="s">
        <v>597</v>
      </c>
      <c r="D24" s="55" t="s">
        <v>676</v>
      </c>
      <c r="E24" s="56" t="s">
        <v>2047</v>
      </c>
    </row>
    <row r="25" spans="1:5" ht="28.5" x14ac:dyDescent="0.65">
      <c r="A25" s="57">
        <v>6.1</v>
      </c>
      <c r="B25" s="58" t="s">
        <v>66</v>
      </c>
      <c r="C25" s="57" t="s">
        <v>600</v>
      </c>
      <c r="D25" s="59" t="s">
        <v>2031</v>
      </c>
      <c r="E25" s="60" t="s">
        <v>2048</v>
      </c>
    </row>
    <row r="26" spans="1:5" ht="28.5" x14ac:dyDescent="0.65">
      <c r="A26" s="53">
        <v>6.1</v>
      </c>
      <c r="B26" s="54" t="s">
        <v>66</v>
      </c>
      <c r="C26" s="53" t="s">
        <v>2049</v>
      </c>
      <c r="D26" s="55" t="s">
        <v>2033</v>
      </c>
      <c r="E26" s="56" t="s">
        <v>2050</v>
      </c>
    </row>
    <row r="27" spans="1:5" x14ac:dyDescent="0.65">
      <c r="A27" s="57">
        <v>6.1</v>
      </c>
      <c r="B27" s="58" t="s">
        <v>66</v>
      </c>
      <c r="C27" s="57" t="s">
        <v>2051</v>
      </c>
      <c r="D27" s="59" t="s">
        <v>2023</v>
      </c>
      <c r="E27" s="60" t="s">
        <v>2052</v>
      </c>
    </row>
    <row r="28" spans="1:5" ht="99.75" x14ac:dyDescent="0.65">
      <c r="A28" s="53">
        <v>7.1</v>
      </c>
      <c r="B28" s="54" t="s">
        <v>1018</v>
      </c>
      <c r="C28" s="53"/>
      <c r="D28" s="55"/>
      <c r="E28" s="56" t="s">
        <v>2053</v>
      </c>
    </row>
    <row r="29" spans="1:5" ht="28.5" x14ac:dyDescent="0.65">
      <c r="A29" s="57">
        <v>7.1</v>
      </c>
      <c r="B29" s="58" t="s">
        <v>1018</v>
      </c>
      <c r="C29" s="57" t="s">
        <v>1022</v>
      </c>
      <c r="D29" s="59" t="s">
        <v>659</v>
      </c>
      <c r="E29" s="60" t="s">
        <v>2054</v>
      </c>
    </row>
    <row r="30" spans="1:5" x14ac:dyDescent="0.65">
      <c r="A30" s="53">
        <v>7.1</v>
      </c>
      <c r="B30" s="54" t="s">
        <v>1018</v>
      </c>
      <c r="C30" s="53" t="s">
        <v>1019</v>
      </c>
      <c r="D30" s="55" t="s">
        <v>968</v>
      </c>
      <c r="E30" s="56" t="s">
        <v>2055</v>
      </c>
    </row>
    <row r="31" spans="1:5" x14ac:dyDescent="0.65">
      <c r="A31" s="57">
        <v>7.1</v>
      </c>
      <c r="B31" s="58" t="s">
        <v>1018</v>
      </c>
      <c r="C31" s="57" t="s">
        <v>1051</v>
      </c>
      <c r="D31" s="59" t="s">
        <v>2031</v>
      </c>
      <c r="E31" s="60" t="s">
        <v>2056</v>
      </c>
    </row>
    <row r="32" spans="1:5" ht="51" customHeight="1" x14ac:dyDescent="0.65">
      <c r="A32" s="53">
        <v>7.1</v>
      </c>
      <c r="B32" s="54" t="s">
        <v>1018</v>
      </c>
      <c r="C32" s="53" t="s">
        <v>2057</v>
      </c>
      <c r="D32" s="55" t="s">
        <v>2033</v>
      </c>
      <c r="E32" s="56" t="s">
        <v>2058</v>
      </c>
    </row>
    <row r="33" spans="1:5" x14ac:dyDescent="0.65">
      <c r="A33" s="57">
        <v>7.1</v>
      </c>
      <c r="B33" s="58" t="s">
        <v>1018</v>
      </c>
      <c r="C33" s="57" t="s">
        <v>2059</v>
      </c>
      <c r="D33" s="59" t="s">
        <v>2023</v>
      </c>
      <c r="E33" s="60" t="s">
        <v>2060</v>
      </c>
    </row>
    <row r="34" spans="1:5" x14ac:dyDescent="0.65">
      <c r="A34" s="57">
        <v>8.1</v>
      </c>
      <c r="B34" s="58" t="s">
        <v>932</v>
      </c>
      <c r="C34" s="57"/>
      <c r="D34" s="59"/>
      <c r="E34" s="60"/>
    </row>
    <row r="35" spans="1:5" x14ac:dyDescent="0.65">
      <c r="A35" s="53">
        <v>8.1</v>
      </c>
      <c r="B35" s="54" t="s">
        <v>932</v>
      </c>
      <c r="C35" s="53" t="s">
        <v>933</v>
      </c>
      <c r="D35" s="55" t="s">
        <v>932</v>
      </c>
      <c r="E35" s="56" t="s">
        <v>2061</v>
      </c>
    </row>
    <row r="36" spans="1:5" ht="71.25" x14ac:dyDescent="0.65">
      <c r="A36" s="57">
        <v>9.1</v>
      </c>
      <c r="B36" s="58" t="s">
        <v>1028</v>
      </c>
      <c r="C36" s="57"/>
      <c r="D36" s="59"/>
      <c r="E36" s="60" t="s">
        <v>2062</v>
      </c>
    </row>
    <row r="37" spans="1:5" x14ac:dyDescent="0.65">
      <c r="A37" s="53">
        <v>9.1</v>
      </c>
      <c r="B37" s="54" t="s">
        <v>1028</v>
      </c>
      <c r="C37" s="53" t="s">
        <v>2063</v>
      </c>
      <c r="D37" s="55" t="s">
        <v>2064</v>
      </c>
      <c r="E37" s="56" t="s">
        <v>2065</v>
      </c>
    </row>
    <row r="38" spans="1:5" ht="28.5" x14ac:dyDescent="0.65">
      <c r="A38" s="57">
        <v>9.1</v>
      </c>
      <c r="B38" s="58" t="s">
        <v>1028</v>
      </c>
      <c r="C38" s="57" t="s">
        <v>1029</v>
      </c>
      <c r="D38" s="59" t="s">
        <v>1030</v>
      </c>
      <c r="E38" s="60" t="s">
        <v>2066</v>
      </c>
    </row>
    <row r="39" spans="1:5" x14ac:dyDescent="0.65">
      <c r="A39" s="53">
        <v>9.1</v>
      </c>
      <c r="B39" s="54" t="s">
        <v>1028</v>
      </c>
      <c r="C39" s="53" t="s">
        <v>1511</v>
      </c>
      <c r="D39" s="55" t="s">
        <v>2067</v>
      </c>
      <c r="E39" s="56" t="s">
        <v>2068</v>
      </c>
    </row>
    <row r="40" spans="1:5" x14ac:dyDescent="0.65">
      <c r="A40" s="57">
        <v>9.1</v>
      </c>
      <c r="B40" s="58" t="s">
        <v>1028</v>
      </c>
      <c r="C40" s="57" t="s">
        <v>2069</v>
      </c>
      <c r="D40" s="59" t="s">
        <v>2023</v>
      </c>
      <c r="E40" s="60" t="s">
        <v>2070</v>
      </c>
    </row>
    <row r="41" spans="1:5" x14ac:dyDescent="0.65">
      <c r="A41" s="53">
        <v>10.1</v>
      </c>
      <c r="B41" s="54" t="s">
        <v>2071</v>
      </c>
      <c r="C41" s="53"/>
      <c r="D41" s="55"/>
      <c r="E41" s="56"/>
    </row>
    <row r="42" spans="1:5" ht="57" x14ac:dyDescent="0.65">
      <c r="A42" s="57">
        <v>10.1</v>
      </c>
      <c r="B42" s="58" t="s">
        <v>2071</v>
      </c>
      <c r="C42" s="57" t="s">
        <v>2072</v>
      </c>
      <c r="D42" s="59" t="s">
        <v>2073</v>
      </c>
      <c r="E42" s="60" t="s">
        <v>2074</v>
      </c>
    </row>
  </sheetData>
  <autoFilter ref="A3:E3" xr:uid="{8BDA97F2-FFF4-4B20-9628-85906A881D05}"/>
  <mergeCells count="2">
    <mergeCell ref="B1:E1"/>
    <mergeCell ref="A2:E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26D9-1F4D-4A49-ABFB-4A67CA46984F}">
  <dimension ref="A1:C42"/>
  <sheetViews>
    <sheetView showGridLines="0" zoomScale="80" zoomScaleNormal="80" workbookViewId="0">
      <selection activeCell="J7" sqref="J7"/>
    </sheetView>
  </sheetViews>
  <sheetFormatPr defaultRowHeight="14.75" x14ac:dyDescent="0.75"/>
  <cols>
    <col min="1" max="1" width="4.54296875" customWidth="1"/>
    <col min="2" max="2" width="33.1328125" customWidth="1"/>
    <col min="3" max="3" width="113.40625" customWidth="1"/>
  </cols>
  <sheetData>
    <row r="1" spans="1:3" s="162" customFormat="1" ht="12" customHeight="1" x14ac:dyDescent="0.75">
      <c r="A1" s="161"/>
      <c r="B1" s="235"/>
      <c r="C1" s="235"/>
    </row>
    <row r="2" spans="1:3" s="162" customFormat="1" ht="27.2" customHeight="1" x14ac:dyDescent="0.75">
      <c r="A2" s="236" t="s">
        <v>2075</v>
      </c>
      <c r="B2" s="236"/>
      <c r="C2" s="236"/>
    </row>
    <row r="3" spans="1:3" x14ac:dyDescent="0.75">
      <c r="A3" s="158"/>
      <c r="B3" s="158"/>
      <c r="C3" s="158"/>
    </row>
    <row r="4" spans="1:3" ht="38.450000000000003" customHeight="1" x14ac:dyDescent="0.75">
      <c r="A4" s="158"/>
      <c r="B4" s="233" t="s">
        <v>2076</v>
      </c>
      <c r="C4" s="234"/>
    </row>
    <row r="5" spans="1:3" ht="25.4" customHeight="1" x14ac:dyDescent="0.75">
      <c r="A5" s="1"/>
      <c r="B5" s="8" t="s">
        <v>2077</v>
      </c>
      <c r="C5" s="8" t="s">
        <v>2078</v>
      </c>
    </row>
    <row r="6" spans="1:3" ht="54" customHeight="1" x14ac:dyDescent="0.75">
      <c r="A6" s="1"/>
      <c r="B6" s="9" t="s">
        <v>2079</v>
      </c>
      <c r="C6" s="16" t="s">
        <v>2080</v>
      </c>
    </row>
    <row r="7" spans="1:3" ht="314.14999999999998" customHeight="1" x14ac:dyDescent="0.75">
      <c r="A7" s="1"/>
      <c r="B7" s="10" t="s">
        <v>2081</v>
      </c>
      <c r="C7" s="10" t="s">
        <v>2082</v>
      </c>
    </row>
    <row r="8" spans="1:3" ht="392.25" customHeight="1" x14ac:dyDescent="0.75">
      <c r="A8" s="1"/>
      <c r="B8" s="10" t="s">
        <v>2083</v>
      </c>
      <c r="C8" s="10" t="s">
        <v>2084</v>
      </c>
    </row>
    <row r="9" spans="1:3" ht="280.25" x14ac:dyDescent="0.75">
      <c r="A9" s="1"/>
      <c r="B9" s="10" t="s">
        <v>2085</v>
      </c>
      <c r="C9" s="10" t="s">
        <v>2086</v>
      </c>
    </row>
    <row r="10" spans="1:3" ht="292.39999999999998" customHeight="1" x14ac:dyDescent="0.75">
      <c r="A10" s="1"/>
      <c r="B10" s="10" t="s">
        <v>2087</v>
      </c>
      <c r="C10" s="10" t="s">
        <v>2088</v>
      </c>
    </row>
    <row r="11" spans="1:3" ht="306" customHeight="1" x14ac:dyDescent="0.75">
      <c r="A11" s="1"/>
      <c r="B11" s="10" t="s">
        <v>2089</v>
      </c>
      <c r="C11" s="10" t="s">
        <v>2090</v>
      </c>
    </row>
    <row r="12" spans="1:3" ht="265.5" x14ac:dyDescent="0.75">
      <c r="A12" s="1"/>
      <c r="B12" s="10" t="s">
        <v>2091</v>
      </c>
      <c r="C12" s="10" t="s">
        <v>2092</v>
      </c>
    </row>
    <row r="13" spans="1:3" ht="335.25" customHeight="1" x14ac:dyDescent="0.75">
      <c r="A13" s="1"/>
      <c r="B13" s="10" t="s">
        <v>2093</v>
      </c>
      <c r="C13" s="10" t="s">
        <v>2094</v>
      </c>
    </row>
    <row r="14" spans="1:3" ht="263.14999999999998" customHeight="1" x14ac:dyDescent="0.75">
      <c r="A14" s="1"/>
      <c r="B14" s="10" t="s">
        <v>2095</v>
      </c>
      <c r="C14" s="10" t="s">
        <v>2096</v>
      </c>
    </row>
    <row r="15" spans="1:3" ht="321.95" customHeight="1" x14ac:dyDescent="0.75">
      <c r="A15" s="1"/>
      <c r="B15" s="10" t="s">
        <v>2097</v>
      </c>
      <c r="C15" s="10" t="s">
        <v>2098</v>
      </c>
    </row>
    <row r="16" spans="1:3" ht="336.75" customHeight="1" x14ac:dyDescent="0.75">
      <c r="A16" s="1"/>
      <c r="B16" s="10" t="s">
        <v>2099</v>
      </c>
      <c r="C16" s="10" t="s">
        <v>2100</v>
      </c>
    </row>
    <row r="17" spans="2:3" ht="321.95" customHeight="1" x14ac:dyDescent="0.75">
      <c r="B17" s="10" t="s">
        <v>2101</v>
      </c>
      <c r="C17" s="10" t="s">
        <v>2102</v>
      </c>
    </row>
    <row r="18" spans="2:3" ht="360.95" customHeight="1" x14ac:dyDescent="0.75">
      <c r="B18" s="10" t="s">
        <v>2103</v>
      </c>
      <c r="C18" s="10" t="s">
        <v>2104</v>
      </c>
    </row>
    <row r="19" spans="2:3" ht="250.75" x14ac:dyDescent="0.75">
      <c r="B19" s="10" t="s">
        <v>2105</v>
      </c>
      <c r="C19" s="10" t="s">
        <v>2106</v>
      </c>
    </row>
    <row r="20" spans="2:3" ht="331.5" customHeight="1" x14ac:dyDescent="0.75">
      <c r="B20" s="10" t="s">
        <v>2107</v>
      </c>
      <c r="C20" s="10" t="s">
        <v>2108</v>
      </c>
    </row>
    <row r="21" spans="2:3" ht="120.2" customHeight="1" x14ac:dyDescent="0.75">
      <c r="B21" s="11" t="s">
        <v>2109</v>
      </c>
      <c r="C21" s="15" t="s">
        <v>2110</v>
      </c>
    </row>
    <row r="22" spans="2:3" ht="294" customHeight="1" x14ac:dyDescent="0.75">
      <c r="B22" s="12" t="s">
        <v>2111</v>
      </c>
      <c r="C22" s="12" t="s">
        <v>2112</v>
      </c>
    </row>
    <row r="23" spans="2:3" ht="266.14999999999998" customHeight="1" x14ac:dyDescent="0.75">
      <c r="B23" s="12" t="s">
        <v>2113</v>
      </c>
      <c r="C23" s="12" t="s">
        <v>2114</v>
      </c>
    </row>
    <row r="24" spans="2:3" ht="272.45" customHeight="1" x14ac:dyDescent="0.75">
      <c r="B24" s="12" t="s">
        <v>2115</v>
      </c>
      <c r="C24" s="12" t="s">
        <v>2116</v>
      </c>
    </row>
    <row r="25" spans="2:3" ht="265.5" x14ac:dyDescent="0.75">
      <c r="B25" s="12" t="s">
        <v>2117</v>
      </c>
      <c r="C25" s="12" t="s">
        <v>2118</v>
      </c>
    </row>
    <row r="26" spans="2:3" ht="318.95" customHeight="1" x14ac:dyDescent="0.75">
      <c r="B26" s="12" t="s">
        <v>2119</v>
      </c>
      <c r="C26" s="12" t="s">
        <v>2120</v>
      </c>
    </row>
    <row r="27" spans="2:3" ht="290.25" customHeight="1" x14ac:dyDescent="0.75">
      <c r="B27" s="12" t="s">
        <v>2121</v>
      </c>
      <c r="C27" s="12" t="s">
        <v>2122</v>
      </c>
    </row>
    <row r="28" spans="2:3" ht="280.25" x14ac:dyDescent="0.75">
      <c r="B28" s="12" t="s">
        <v>2123</v>
      </c>
      <c r="C28" s="12" t="s">
        <v>2124</v>
      </c>
    </row>
    <row r="29" spans="2:3" ht="177" x14ac:dyDescent="0.75">
      <c r="B29" s="12" t="s">
        <v>2125</v>
      </c>
      <c r="C29" s="12" t="s">
        <v>2126</v>
      </c>
    </row>
    <row r="30" spans="2:3" ht="249.75" customHeight="1" x14ac:dyDescent="0.75">
      <c r="B30" s="12" t="s">
        <v>2127</v>
      </c>
      <c r="C30" s="12" t="s">
        <v>2128</v>
      </c>
    </row>
    <row r="31" spans="2:3" ht="250.75" x14ac:dyDescent="0.75">
      <c r="B31" s="12" t="s">
        <v>2129</v>
      </c>
      <c r="C31" s="12" t="s">
        <v>2130</v>
      </c>
    </row>
    <row r="32" spans="2:3" ht="236" x14ac:dyDescent="0.75">
      <c r="B32" s="12" t="s">
        <v>2131</v>
      </c>
      <c r="C32" s="12" t="s">
        <v>2132</v>
      </c>
    </row>
    <row r="33" spans="2:3" ht="342.65" customHeight="1" x14ac:dyDescent="0.75">
      <c r="B33" s="12" t="s">
        <v>2133</v>
      </c>
      <c r="C33" s="12" t="s">
        <v>2134</v>
      </c>
    </row>
    <row r="34" spans="2:3" ht="236" x14ac:dyDescent="0.75">
      <c r="B34" s="12" t="s">
        <v>2135</v>
      </c>
      <c r="C34" s="12" t="s">
        <v>2136</v>
      </c>
    </row>
    <row r="35" spans="2:3" ht="308.89999999999998" customHeight="1" x14ac:dyDescent="0.75">
      <c r="B35" s="12" t="s">
        <v>2137</v>
      </c>
      <c r="C35" s="12" t="s">
        <v>2138</v>
      </c>
    </row>
    <row r="36" spans="2:3" ht="290.25" customHeight="1" x14ac:dyDescent="0.75">
      <c r="B36" s="12" t="s">
        <v>2139</v>
      </c>
      <c r="C36" s="12" t="s">
        <v>2140</v>
      </c>
    </row>
    <row r="37" spans="2:3" ht="250.75" x14ac:dyDescent="0.75">
      <c r="B37" s="12" t="s">
        <v>2141</v>
      </c>
      <c r="C37" s="12" t="s">
        <v>2142</v>
      </c>
    </row>
    <row r="38" spans="2:3" ht="220.4" customHeight="1" x14ac:dyDescent="0.75">
      <c r="B38" s="12" t="s">
        <v>2143</v>
      </c>
      <c r="C38" s="12" t="s">
        <v>2144</v>
      </c>
    </row>
    <row r="39" spans="2:3" ht="55.7" customHeight="1" x14ac:dyDescent="0.75">
      <c r="B39" s="13" t="s">
        <v>2145</v>
      </c>
      <c r="C39" s="13" t="s">
        <v>2146</v>
      </c>
    </row>
    <row r="40" spans="2:3" ht="359.9" customHeight="1" x14ac:dyDescent="0.75">
      <c r="B40" s="14" t="s">
        <v>2147</v>
      </c>
      <c r="C40" s="14" t="s">
        <v>2148</v>
      </c>
    </row>
    <row r="41" spans="2:3" ht="262.39999999999998" customHeight="1" x14ac:dyDescent="0.75">
      <c r="B41" s="14" t="s">
        <v>2149</v>
      </c>
      <c r="C41" s="14" t="s">
        <v>2150</v>
      </c>
    </row>
    <row r="42" spans="2:3" ht="262.7" customHeight="1" x14ac:dyDescent="0.75">
      <c r="B42" s="14" t="s">
        <v>2151</v>
      </c>
      <c r="C42" s="14" t="s">
        <v>2152</v>
      </c>
    </row>
  </sheetData>
  <mergeCells count="3">
    <mergeCell ref="B4:C4"/>
    <mergeCell ref="B1:C1"/>
    <mergeCell ref="A2:C2"/>
  </mergeCells>
  <pageMargins left="0.7" right="0.7" top="0.75" bottom="0.75" header="0.3" footer="0.3"/>
  <pageSetup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FCC4BD9317DF459F464090DC568018" ma:contentTypeVersion="5" ma:contentTypeDescription="Create a new document." ma:contentTypeScope="" ma:versionID="9c47f1f723a0caf3f70707dfaeddf287">
  <xsd:schema xmlns:xsd="http://www.w3.org/2001/XMLSchema" xmlns:xs="http://www.w3.org/2001/XMLSchema" xmlns:p="http://schemas.microsoft.com/office/2006/metadata/properties" xmlns:ns2="b27f71c8-9d04-4533-b687-c5980a2d41b1" xmlns:ns3="95e6a49e-6170-43df-b713-fb4d1f4545de" targetNamespace="http://schemas.microsoft.com/office/2006/metadata/properties" ma:root="true" ma:fieldsID="149a5fa8489bc8fef60bb309efc69c3c" ns2:_="" ns3:_="">
    <xsd:import namespace="b27f71c8-9d04-4533-b687-c5980a2d41b1"/>
    <xsd:import namespace="95e6a49e-6170-43df-b713-fb4d1f4545de"/>
    <xsd:element name="properties">
      <xsd:complexType>
        <xsd:sequence>
          <xsd:element name="documentManagement">
            <xsd:complexType>
              <xsd:all>
                <xsd:element ref="ns2:MediaServiceMetadata" minOccurs="0"/>
                <xsd:element ref="ns2:MediaServiceFastMetadata" minOccurs="0"/>
                <xsd:element ref="ns2:DateProvided_x002f_Purpos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7f71c8-9d04-4533-b687-c5980a2d4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ateProvided_x002f_Purpose" ma:index="10" nillable="true" ma:displayName="Date Provided/Purpose" ma:format="Dropdown" ma:internalName="DateProvided_x002f_Purpo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6a49e-6170-43df-b713-fb4d1f4545d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ateProvided_x002f_Purpose xmlns="b27f71c8-9d04-4533-b687-c5980a2d41b1" xsi:nil="true"/>
  </documentManagement>
</p:properties>
</file>

<file path=customXml/itemProps1.xml><?xml version="1.0" encoding="utf-8"?>
<ds:datastoreItem xmlns:ds="http://schemas.openxmlformats.org/officeDocument/2006/customXml" ds:itemID="{B3C93243-3014-4B68-A434-9A902269F9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7f71c8-9d04-4533-b687-c5980a2d41b1"/>
    <ds:schemaRef ds:uri="95e6a49e-6170-43df-b713-fb4d1f4545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EA8BCB6-E12D-4F3B-8A02-341EEA05E1C0}">
  <ds:schemaRefs>
    <ds:schemaRef ds:uri="http://schemas.microsoft.com/sharepoint/v3/contenttype/forms"/>
  </ds:schemaRefs>
</ds:datastoreItem>
</file>

<file path=customXml/itemProps3.xml><?xml version="1.0" encoding="utf-8"?>
<ds:datastoreItem xmlns:ds="http://schemas.openxmlformats.org/officeDocument/2006/customXml" ds:itemID="{97BCB1A8-5656-4B0A-AA11-69AAEDE0689F}">
  <ds:schemaRefs>
    <ds:schemaRef ds:uri="http://schemas.microsoft.com/office/2006/metadata/properties"/>
    <ds:schemaRef ds:uri="http://schemas.microsoft.com/office/infopath/2007/PartnerControls"/>
    <ds:schemaRef ds:uri="b27f71c8-9d04-4533-b687-c5980a2d41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Cover Page</vt:lpstr>
      <vt:lpstr>Overview</vt:lpstr>
      <vt:lpstr>FM Sol-Serv Def Template</vt:lpstr>
      <vt:lpstr>FM Sol-Serv Def Example - SaaS</vt:lpstr>
      <vt:lpstr>FM Sol-Serv Def Example - PaaS</vt:lpstr>
      <vt:lpstr>FM Sol-Serv Def Example-Audit</vt:lpstr>
      <vt:lpstr>FFM-Functions-Activities</vt:lpstr>
      <vt:lpstr>Serv Delivery Layers</vt:lpstr>
      <vt:lpstr>Towers-SubTowers</vt:lpstr>
      <vt:lpstr>Service Components List</vt:lpstr>
      <vt:lpstr>Cost Pools-SubCost Pools</vt:lpstr>
      <vt:lpstr>ITIL</vt:lpstr>
      <vt:lpstr>'FFM-Functions-Activities'!Print_Titles</vt:lpstr>
      <vt:lpstr>'Service Components List'!Print_Titles</vt:lpstr>
      <vt:lpstr>ServiceActivities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Faubert, Jasmine A.</dc:creator>
  <cp:keywords/>
  <dc:description/>
  <cp:lastModifiedBy>Pope, Sarah H.</cp:lastModifiedBy>
  <cp:revision/>
  <dcterms:created xsi:type="dcterms:W3CDTF">2021-03-10T01:23:16Z</dcterms:created>
  <dcterms:modified xsi:type="dcterms:W3CDTF">2021-05-28T01:19:05Z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0x010100CDFCC4BD9317DF459F464090DC568018</vt:lpwstr>
  </property>
</Properties>
</file>